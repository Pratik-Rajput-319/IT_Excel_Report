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5ADAF4A2DE2CCE7C/Documents/"/>
    </mc:Choice>
  </mc:AlternateContent>
  <xr:revisionPtr revIDLastSave="1332" documentId="8_{57EC8D61-6872-4FA4-9ED0-C2F340499939}" xr6:coauthVersionLast="47" xr6:coauthVersionMax="47" xr10:uidLastSave="{9C8E52CD-80F1-439C-BF89-26C1EC230175}"/>
  <bookViews>
    <workbookView xWindow="-108" yWindow="-108" windowWidth="23256" windowHeight="12456" xr2:uid="{7315968A-ED03-4B3D-AFE2-7D2069F676FE}"/>
  </bookViews>
  <sheets>
    <sheet name="Sheet1" sheetId="1" r:id="rId1"/>
    <sheet name="Dashboard" sheetId="14" r:id="rId2"/>
    <sheet name="Revenue Vs Profit Margin" sheetId="17" r:id="rId3"/>
    <sheet name="Cashflow Analysis" sheetId="10" r:id="rId4"/>
    <sheet name="Net Profit Chart" sheetId="3" r:id="rId5"/>
    <sheet name="Market Capital" sheetId="20" r:id="rId6"/>
    <sheet name="Sheet3" sheetId="22" r:id="rId7"/>
  </sheets>
  <definedNames>
    <definedName name="_xlcn.WorksheetConnection_Automated_Report_MS.xlsxMorningstar_Reports1" hidden="1">Morningstar_Reports[]</definedName>
    <definedName name="ExternalData_1" localSheetId="0" hidden="1">Sheet1!$A$1:$O$21</definedName>
    <definedName name="Slicer_Company_Name">#N/A</definedName>
    <definedName name="Slicer_Company_Name1">#N/A</definedName>
    <definedName name="Slicer_Country">#N/A</definedName>
    <definedName name="Slicer_Country1">#N/A</definedName>
    <definedName name="Slicer_Quarter">#N/A</definedName>
    <definedName name="Slicer_Quarter1">#N/A</definedName>
    <definedName name="Slicer_Year">#N/A</definedName>
    <definedName name="Slicer_Year1">#N/A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orningstar_Reports" name="Morningstar_Reports" connection="WorksheetConnection_Automated_Report_MS.xlsx!Morningstar_Report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V2" i="1"/>
  <c r="V3" i="1"/>
  <c r="V4" i="1"/>
  <c r="V5" i="1"/>
  <c r="V6" i="1"/>
  <c r="V7" i="1"/>
  <c r="V8" i="1"/>
  <c r="V9" i="1"/>
  <c r="V10" i="1"/>
  <c r="V11" i="1"/>
  <c r="V12" i="1"/>
  <c r="V13" i="1"/>
  <c r="V14" i="1"/>
  <c r="V15" i="1"/>
  <c r="V16" i="1"/>
  <c r="V17" i="1"/>
  <c r="V18" i="1"/>
  <c r="V19" i="1"/>
  <c r="V20" i="1"/>
  <c r="V21" i="1"/>
  <c r="Q2" i="1"/>
  <c r="Q3" i="1"/>
  <c r="Q4" i="1"/>
  <c r="Q5" i="1"/>
  <c r="Q6" i="1"/>
  <c r="Q7" i="1"/>
  <c r="Q8" i="1"/>
  <c r="Q9" i="1"/>
  <c r="Q10" i="1"/>
  <c r="Q11" i="1"/>
  <c r="Q12" i="1"/>
  <c r="Q13" i="1"/>
  <c r="Q14" i="1"/>
  <c r="Q15" i="1"/>
  <c r="Q16" i="1"/>
  <c r="Q17" i="1"/>
  <c r="Q18" i="1"/>
  <c r="Q19" i="1"/>
  <c r="Q20" i="1"/>
  <c r="Q21" i="1"/>
  <c r="P2" i="1"/>
  <c r="P3" i="1"/>
  <c r="P4" i="1"/>
  <c r="P5" i="1"/>
  <c r="P6" i="1"/>
  <c r="P7" i="1"/>
  <c r="P8" i="1"/>
  <c r="P9" i="1"/>
  <c r="P10" i="1"/>
  <c r="P11" i="1"/>
  <c r="P12" i="1"/>
  <c r="P13" i="1"/>
  <c r="P14" i="1"/>
  <c r="P15" i="1"/>
  <c r="P16" i="1"/>
  <c r="P17" i="1"/>
  <c r="P18" i="1"/>
  <c r="P19" i="1"/>
  <c r="P20" i="1"/>
  <c r="P21" i="1"/>
  <c r="R2" i="1"/>
  <c r="R3" i="1"/>
  <c r="R4" i="1"/>
  <c r="R5" i="1"/>
  <c r="R6" i="1"/>
  <c r="R7" i="1"/>
  <c r="R8" i="1"/>
  <c r="R9" i="1"/>
  <c r="R10" i="1"/>
  <c r="R11" i="1"/>
  <c r="R12" i="1"/>
  <c r="R13" i="1"/>
  <c r="R14" i="1"/>
  <c r="R15" i="1"/>
  <c r="R16" i="1"/>
  <c r="R17" i="1"/>
  <c r="R18" i="1"/>
  <c r="R19" i="1"/>
  <c r="R20" i="1"/>
  <c r="R21" i="1"/>
  <c r="S2" i="1"/>
  <c r="S3" i="1"/>
  <c r="S4" i="1"/>
  <c r="S5" i="1"/>
  <c r="S6" i="1"/>
  <c r="S7" i="1"/>
  <c r="S8" i="1"/>
  <c r="S9" i="1"/>
  <c r="S10" i="1"/>
  <c r="S11" i="1"/>
  <c r="S12" i="1"/>
  <c r="S13" i="1"/>
  <c r="S14" i="1"/>
  <c r="S15" i="1"/>
  <c r="S16" i="1"/>
  <c r="S17" i="1"/>
  <c r="S18" i="1"/>
  <c r="S19" i="1"/>
  <c r="S20" i="1"/>
  <c r="S21" i="1"/>
  <c r="T2" i="1"/>
  <c r="T3" i="1"/>
  <c r="T4" i="1"/>
  <c r="T5" i="1"/>
  <c r="T6" i="1"/>
  <c r="T7" i="1"/>
  <c r="T8" i="1"/>
  <c r="T9" i="1"/>
  <c r="T10" i="1"/>
  <c r="T11" i="1"/>
  <c r="T12" i="1"/>
  <c r="T13" i="1"/>
  <c r="T14" i="1"/>
  <c r="T15" i="1"/>
  <c r="T16" i="1"/>
  <c r="T17" i="1"/>
  <c r="T18" i="1"/>
  <c r="T19" i="1"/>
  <c r="T20" i="1"/>
  <c r="T21" i="1"/>
  <c r="U2" i="1"/>
  <c r="U3" i="1"/>
  <c r="U4" i="1"/>
  <c r="U5" i="1"/>
  <c r="U6" i="1"/>
  <c r="U7" i="1"/>
  <c r="U8" i="1"/>
  <c r="U9" i="1"/>
  <c r="U10" i="1"/>
  <c r="U11" i="1"/>
  <c r="U12" i="1"/>
  <c r="U13" i="1"/>
  <c r="U14" i="1"/>
  <c r="U15" i="1"/>
  <c r="U16" i="1"/>
  <c r="U17" i="1"/>
  <c r="U18" i="1"/>
  <c r="U19" i="1"/>
  <c r="U20" i="1"/>
  <c r="U2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4781B2-84BF-4007-A00A-150E61E09DF1}" keepAlive="1" name="Query - Morningstar Reports" description="Connection to the 'Morningstar Reports' query in the workbook." type="5" refreshedVersion="8" background="1" saveData="1">
    <dbPr connection="Provider=Microsoft.Mashup.OleDb.1;Data Source=$Workbook$;Location=&quot;Morningstar Reports&quot;;Extended Properties=&quot;&quot;" command="SELECT * FROM [Morningstar Reports]"/>
  </connection>
  <connection id="2" xr16:uid="{3A6C2F21-4599-43E6-A287-9BAD1BDBE85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40FC991D-CFAE-4687-9296-DC478143AA03}" name="WorksheetConnection_Automated_Report_MS.xlsx!Morningstar_Reports" type="102" refreshedVersion="8" minRefreshableVersion="5">
    <extLst>
      <ext xmlns:x15="http://schemas.microsoft.com/office/spreadsheetml/2010/11/main" uri="{DE250136-89BD-433C-8126-D09CA5730AF9}">
        <x15:connection id="Morningstar_Reports" autoDelete="1">
          <x15:rangePr sourceName="_xlcn.WorksheetConnection_Automated_Report_MS.xlsxMorningstar_Reports1"/>
        </x15:connection>
      </ext>
    </extLst>
  </connection>
</connections>
</file>

<file path=xl/sharedStrings.xml><?xml version="1.0" encoding="utf-8"?>
<sst xmlns="http://schemas.openxmlformats.org/spreadsheetml/2006/main" count="171" uniqueCount="48">
  <si>
    <t>Company Name</t>
  </si>
  <si>
    <t>Quarter</t>
  </si>
  <si>
    <t>Year</t>
  </si>
  <si>
    <t>Revenue (Cr INR)</t>
  </si>
  <si>
    <t>Net Profit (Cr INR)</t>
  </si>
  <si>
    <t>Operating Profit (Cr INR)</t>
  </si>
  <si>
    <t>EPS</t>
  </si>
  <si>
    <t>Total Assets (Cr INR)</t>
  </si>
  <si>
    <t>Total Liabilities (Cr INR)</t>
  </si>
  <si>
    <t>Cash Flow from Operations (Cr INR)</t>
  </si>
  <si>
    <t>Free Cash Flow (Cr INR)</t>
  </si>
  <si>
    <t>CapEx (Cr INR)</t>
  </si>
  <si>
    <t>Market Cap (Cr INR)</t>
  </si>
  <si>
    <t>Sector</t>
  </si>
  <si>
    <t>Country</t>
  </si>
  <si>
    <t>Tata Consultancy Services</t>
  </si>
  <si>
    <t>Q1 2026</t>
  </si>
  <si>
    <t>IT Services</t>
  </si>
  <si>
    <t>India</t>
  </si>
  <si>
    <t>Infosys</t>
  </si>
  <si>
    <t>HCLTech</t>
  </si>
  <si>
    <t>Wipro</t>
  </si>
  <si>
    <t>Tech Mahindra</t>
  </si>
  <si>
    <t>LTIMindtree</t>
  </si>
  <si>
    <t>Mphasis</t>
  </si>
  <si>
    <t>Persistent Systems</t>
  </si>
  <si>
    <t>Coforge</t>
  </si>
  <si>
    <t>Oracle Financial Services Software</t>
  </si>
  <si>
    <t>Profit Margin(%)</t>
  </si>
  <si>
    <t>Row Labels</t>
  </si>
  <si>
    <t>Sum of Net Profit (Cr INR)</t>
  </si>
  <si>
    <t>Grand Total</t>
  </si>
  <si>
    <t>Sum of Revenue (Cr INR)</t>
  </si>
  <si>
    <t>Operating Margin</t>
  </si>
  <si>
    <t>Debt Ratio</t>
  </si>
  <si>
    <t>Asset Turnover</t>
  </si>
  <si>
    <t>Marketcap to revenue</t>
  </si>
  <si>
    <t>Net Assets</t>
  </si>
  <si>
    <t>Q2 2026</t>
  </si>
  <si>
    <t>Sum of Market Cap (Cr INR)</t>
  </si>
  <si>
    <t>Cash Flow from Operations (Cr)</t>
  </si>
  <si>
    <t>CapEx (Cr)</t>
  </si>
  <si>
    <t>Free Cash Flow (Cr)</t>
  </si>
  <si>
    <t>Sum of Profit Margin(%)</t>
  </si>
  <si>
    <t>CFO Mragins(%)</t>
  </si>
  <si>
    <t>FCF Margins(%)</t>
  </si>
  <si>
    <t xml:space="preserve">Company </t>
  </si>
  <si>
    <t>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</si>
</sst>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xf numFmtId="2" fontId="0" fillId="0" borderId="0" xfId="0" applyNumberFormat="1" applyAlignment="1">
      <alignment horizontal="center"/>
    </xf>
    <xf numFmtId="1" fontId="0" fillId="0" borderId="0" xfId="0" applyNumberFormat="1" applyAlignment="1">
      <alignment horizontal="center"/>
    </xf>
    <xf numFmtId="2" fontId="0" fillId="0" borderId="0" xfId="0" applyNumberFormat="1"/>
  </cellXfs>
  <cellStyles count="1">
    <cellStyle name="Normal" xfId="0" builtinId="0"/>
  </cellStyles>
  <dxfs count="27">
    <dxf>
      <numFmt numFmtId="2" formatCode="0.00"/>
    </dxf>
    <dxf>
      <numFmt numFmtId="2" formatCode="0.00"/>
    </dxf>
    <dxf>
      <numFmt numFmtId="2" formatCode="0.00"/>
    </dxf>
    <dxf>
      <numFmt numFmtId="2" formatCode="0.0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microsoft.com/office/2017/10/relationships/person" Target="persons/person.xml"/><Relationship Id="rId10" Type="http://schemas.microsoft.com/office/2007/relationships/slicerCache" Target="slicerCaches/slicerCache1.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[Automated_Report_MS.xlsx]Net Profit Chart!PivotTable2</c:name>
    <c:fmtId val="25"/>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latin typeface="Arial Black" panose="020B0A04020102020204" pitchFamily="34" charset="0"/>
              </a:rPr>
              <a:t>Net</a:t>
            </a:r>
            <a:r>
              <a:rPr lang="en-US" baseline="0">
                <a:latin typeface="Arial Black" panose="020B0A04020102020204" pitchFamily="34" charset="0"/>
              </a:rPr>
              <a:t> Profit Comparison </a:t>
            </a:r>
            <a:endParaRPr lang="en-US">
              <a:latin typeface="Arial Black" panose="020B0A04020102020204" pitchFamily="34" charset="0"/>
            </a:endParaRPr>
          </a:p>
        </c:rich>
      </c:tx>
      <c:layout>
        <c:manualLayout>
          <c:xMode val="edge"/>
          <c:yMode val="edge"/>
          <c:x val="0.24428526830621944"/>
          <c:y val="3.4695639006662622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64840573342446E-2"/>
          <c:y val="0.14339869775893399"/>
          <c:w val="0.87858753338652051"/>
          <c:h val="0.46736438957099896"/>
        </c:manualLayout>
      </c:layout>
      <c:barChart>
        <c:barDir val="col"/>
        <c:grouping val="clustered"/>
        <c:varyColors val="0"/>
        <c:ser>
          <c:idx val="0"/>
          <c:order val="0"/>
          <c:tx>
            <c:strRef>
              <c:f>'Net Profit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'Net Profit Chart'!$A$4:$A$13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'Net Profit Chart'!$B$4:$B$13</c:f>
              <c:numCache>
                <c:formatCode>General</c:formatCode>
                <c:ptCount val="10"/>
                <c:pt idx="0">
                  <c:v>940</c:v>
                </c:pt>
                <c:pt idx="1">
                  <c:v>10120</c:v>
                </c:pt>
                <c:pt idx="2">
                  <c:v>15850</c:v>
                </c:pt>
                <c:pt idx="3">
                  <c:v>3350</c:v>
                </c:pt>
                <c:pt idx="4">
                  <c:v>1420</c:v>
                </c:pt>
                <c:pt idx="5">
                  <c:v>825</c:v>
                </c:pt>
                <c:pt idx="6">
                  <c:v>1085</c:v>
                </c:pt>
                <c:pt idx="7">
                  <c:v>24232</c:v>
                </c:pt>
                <c:pt idx="8">
                  <c:v>3550</c:v>
                </c:pt>
                <c:pt idx="9">
                  <c:v>6425</c:v>
                </c:pt>
              </c:numCache>
            </c:numRef>
          </c:val>
          <c:extLst>
            <c:ext xmlns:c16="http://schemas.microsoft.com/office/drawing/2014/chart" uri="{C3380CC4-5D6E-409C-BE32-E72D297353CC}">
              <c16:uniqueId val="{00000000-9492-48A9-BF86-50964346E4F9}"/>
            </c:ext>
          </c:extLst>
        </c:ser>
        <c:dLbls>
          <c:dLblPos val="outEnd"/>
          <c:showLegendKey val="0"/>
          <c:showVal val="1"/>
          <c:showCatName val="0"/>
          <c:showSerName val="0"/>
          <c:showPercent val="0"/>
          <c:showBubbleSize val="0"/>
        </c:dLbls>
        <c:gapWidth val="41"/>
        <c:axId val="495456783"/>
        <c:axId val="495460623"/>
      </c:barChart>
      <c:catAx>
        <c:axId val="495456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95460623"/>
        <c:crosses val="autoZero"/>
        <c:auto val="1"/>
        <c:lblAlgn val="ctr"/>
        <c:lblOffset val="100"/>
        <c:noMultiLvlLbl val="0"/>
      </c:catAx>
      <c:valAx>
        <c:axId val="495460623"/>
        <c:scaling>
          <c:orientation val="minMax"/>
        </c:scaling>
        <c:delete val="1"/>
        <c:axPos val="l"/>
        <c:numFmt formatCode="General" sourceLinked="1"/>
        <c:majorTickMark val="none"/>
        <c:minorTickMark val="none"/>
        <c:tickLblPos val="nextTo"/>
        <c:crossAx val="495456783"/>
        <c:crosses val="autoZero"/>
        <c:crossBetween val="between"/>
      </c:valAx>
      <c:spPr>
        <a:solidFill>
          <a:schemeClr val="accent3">
            <a:lumMod val="60000"/>
            <a:lumOff val="40000"/>
            <a:alpha val="29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[Automated_Report_MS.xlsx]Revenue Vs Profit Margin!PivotTable1</c:name>
    <c:fmtId val="1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latin typeface="Arial Black" panose="020B0A04020102020204" pitchFamily="34" charset="0"/>
              </a:rPr>
              <a:t>Revenue</a:t>
            </a:r>
            <a:r>
              <a:rPr lang="en-IN" baseline="0">
                <a:latin typeface="Arial Black" panose="020B0A04020102020204" pitchFamily="34" charset="0"/>
              </a:rPr>
              <a:t> VS Profit Margin</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794619422572184E-2"/>
          <c:y val="0.14555733267716536"/>
          <c:w val="0.8555062000860344"/>
          <c:h val="0.5786289131077158"/>
        </c:manualLayout>
      </c:layout>
      <c:barChart>
        <c:barDir val="col"/>
        <c:grouping val="clustered"/>
        <c:varyColors val="0"/>
        <c:ser>
          <c:idx val="0"/>
          <c:order val="0"/>
          <c:tx>
            <c:strRef>
              <c:f>'Revenue Vs Profit Margin'!$B$3</c:f>
              <c:strCache>
                <c:ptCount val="1"/>
                <c:pt idx="0">
                  <c:v>Sum of Revenue (Cr INR)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Vs Profit Margin'!$A$4:$A$14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'Revenue Vs Profit Margin'!$B$4:$B$14</c:f>
              <c:numCache>
                <c:formatCode>General</c:formatCode>
                <c:ptCount val="10"/>
                <c:pt idx="0">
                  <c:v>5850</c:v>
                </c:pt>
                <c:pt idx="1">
                  <c:v>60400</c:v>
                </c:pt>
                <c:pt idx="2">
                  <c:v>80300</c:v>
                </c:pt>
                <c:pt idx="3">
                  <c:v>22400</c:v>
                </c:pt>
                <c:pt idx="4">
                  <c:v>8450</c:v>
                </c:pt>
                <c:pt idx="5">
                  <c:v>4325</c:v>
                </c:pt>
                <c:pt idx="6">
                  <c:v>6800</c:v>
                </c:pt>
                <c:pt idx="7">
                  <c:v>128600</c:v>
                </c:pt>
                <c:pt idx="8">
                  <c:v>30350</c:v>
                </c:pt>
                <c:pt idx="9">
                  <c:v>44900</c:v>
                </c:pt>
              </c:numCache>
            </c:numRef>
          </c:val>
          <c:extLst>
            <c:ext xmlns:c16="http://schemas.microsoft.com/office/drawing/2014/chart" uri="{C3380CC4-5D6E-409C-BE32-E72D297353CC}">
              <c16:uniqueId val="{00000000-DCF5-412E-A7A6-DEDAC7C2F3ED}"/>
            </c:ext>
          </c:extLst>
        </c:ser>
        <c:dLbls>
          <c:showLegendKey val="0"/>
          <c:showVal val="1"/>
          <c:showCatName val="0"/>
          <c:showSerName val="0"/>
          <c:showPercent val="0"/>
          <c:showBubbleSize val="0"/>
        </c:dLbls>
        <c:gapWidth val="269"/>
        <c:axId val="630530896"/>
        <c:axId val="630518896"/>
      </c:barChart>
      <c:lineChart>
        <c:grouping val="standard"/>
        <c:varyColors val="0"/>
        <c:ser>
          <c:idx val="1"/>
          <c:order val="1"/>
          <c:tx>
            <c:strRef>
              <c:f>'Revenue Vs Profit Margin'!$C$3</c:f>
              <c:strCache>
                <c:ptCount val="1"/>
                <c:pt idx="0">
                  <c:v>Sum of Profit Margin(%)</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'Revenue Vs Profit Margin'!$A$4:$A$14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'Revenue Vs Profit Margin'!$C$4:$C$14</c:f>
              <c:numCache>
                <c:formatCode>0.00</c:formatCode>
                <c:ptCount val="10"/>
                <c:pt idx="0">
                  <c:v>0.32144944476914084</c:v>
                </c:pt>
                <c:pt idx="1">
                  <c:v>0.3350958705097104</c:v>
                </c:pt>
                <c:pt idx="2">
                  <c:v>0.39476867532660886</c:v>
                </c:pt>
                <c:pt idx="3">
                  <c:v>0.29913303437967115</c:v>
                </c:pt>
                <c:pt idx="4">
                  <c:v>0.33613445378151263</c:v>
                </c:pt>
                <c:pt idx="5">
                  <c:v>0.38150227211975407</c:v>
                </c:pt>
                <c:pt idx="6">
                  <c:v>0.3191650443434999</c:v>
                </c:pt>
                <c:pt idx="7">
                  <c:v>0.37685880051638809</c:v>
                </c:pt>
                <c:pt idx="8">
                  <c:v>0.23395939637390079</c:v>
                </c:pt>
                <c:pt idx="9">
                  <c:v>0.2861954365079365</c:v>
                </c:pt>
              </c:numCache>
            </c:numRef>
          </c:val>
          <c:smooth val="0"/>
          <c:extLst>
            <c:ext xmlns:c16="http://schemas.microsoft.com/office/drawing/2014/chart" uri="{C3380CC4-5D6E-409C-BE32-E72D297353CC}">
              <c16:uniqueId val="{00000001-DCF5-412E-A7A6-DEDAC7C2F3ED}"/>
            </c:ext>
          </c:extLst>
        </c:ser>
        <c:dLbls>
          <c:showLegendKey val="0"/>
          <c:showVal val="1"/>
          <c:showCatName val="0"/>
          <c:showSerName val="0"/>
          <c:showPercent val="0"/>
          <c:showBubbleSize val="0"/>
        </c:dLbls>
        <c:marker val="1"/>
        <c:smooth val="0"/>
        <c:axId val="630683536"/>
        <c:axId val="630682576"/>
      </c:lineChart>
      <c:catAx>
        <c:axId val="63053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0518896"/>
        <c:crosses val="autoZero"/>
        <c:auto val="1"/>
        <c:lblAlgn val="ctr"/>
        <c:lblOffset val="100"/>
        <c:noMultiLvlLbl val="0"/>
      </c:catAx>
      <c:valAx>
        <c:axId val="63051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30896"/>
        <c:crosses val="autoZero"/>
        <c:crossBetween val="between"/>
      </c:valAx>
      <c:valAx>
        <c:axId val="630682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83536"/>
        <c:crosses val="max"/>
        <c:crossBetween val="between"/>
      </c:valAx>
      <c:catAx>
        <c:axId val="630683536"/>
        <c:scaling>
          <c:orientation val="minMax"/>
        </c:scaling>
        <c:delete val="1"/>
        <c:axPos val="b"/>
        <c:numFmt formatCode="General" sourceLinked="1"/>
        <c:majorTickMark val="out"/>
        <c:minorTickMark val="none"/>
        <c:tickLblPos val="nextTo"/>
        <c:crossAx val="6306825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[Automated_Report_MS.xlsx]Cashflow Analysis!PivotTable1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rial Black" panose="020B0A04020102020204" pitchFamily="34" charset="0"/>
              </a:rPr>
              <a:t>Cash</a:t>
            </a:r>
            <a:r>
              <a:rPr lang="en-IN" b="1" baseline="0">
                <a:latin typeface="Arial Black" panose="020B0A04020102020204" pitchFamily="34" charset="0"/>
              </a:rPr>
              <a:t>flow Analysis </a:t>
            </a:r>
            <a:endParaRPr lang="en-IN" b="1">
              <a:latin typeface="Arial Black" panose="020B0A04020102020204" pitchFamily="34" charset="0"/>
            </a:endParaRPr>
          </a:p>
        </c:rich>
      </c:tx>
      <c:layout>
        <c:manualLayout>
          <c:xMode val="edge"/>
          <c:yMode val="edge"/>
          <c:x val="0.13548022598870058"/>
          <c:y val="1.30320666438434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31284153005466"/>
          <c:y val="0.1353712118584296"/>
          <c:w val="0.72100409836065571"/>
          <c:h val="0.790773179784245"/>
        </c:manualLayout>
      </c:layout>
      <c:barChart>
        <c:barDir val="bar"/>
        <c:grouping val="stacked"/>
        <c:varyColors val="0"/>
        <c:ser>
          <c:idx val="0"/>
          <c:order val="0"/>
          <c:tx>
            <c:strRef>
              <c:f>'Cashflow Analysis'!$B$3</c:f>
              <c:strCache>
                <c:ptCount val="1"/>
                <c:pt idx="0">
                  <c:v>Cash Flow from Operations (Cr)</c:v>
                </c:pt>
              </c:strCache>
            </c:strRef>
          </c:tx>
          <c:spPr>
            <a:solidFill>
              <a:schemeClr val="accent1"/>
            </a:solidFill>
            <a:ln>
              <a:noFill/>
            </a:ln>
            <a:effectLst/>
          </c:spPr>
          <c:invertIfNegative val="0"/>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Analysis'!$B$4:$B$13</c:f>
              <c:numCache>
                <c:formatCode>General</c:formatCode>
                <c:ptCount val="10"/>
                <c:pt idx="0">
                  <c:v>2690</c:v>
                </c:pt>
                <c:pt idx="1">
                  <c:v>28500</c:v>
                </c:pt>
                <c:pt idx="2">
                  <c:v>44500</c:v>
                </c:pt>
                <c:pt idx="3">
                  <c:v>10300</c:v>
                </c:pt>
                <c:pt idx="4">
                  <c:v>3750</c:v>
                </c:pt>
                <c:pt idx="5">
                  <c:v>1965</c:v>
                </c:pt>
                <c:pt idx="6">
                  <c:v>3000</c:v>
                </c:pt>
                <c:pt idx="7">
                  <c:v>84500</c:v>
                </c:pt>
                <c:pt idx="8">
                  <c:v>14500</c:v>
                </c:pt>
                <c:pt idx="9">
                  <c:v>23700</c:v>
                </c:pt>
              </c:numCache>
            </c:numRef>
          </c:val>
          <c:extLst>
            <c:ext xmlns:c16="http://schemas.microsoft.com/office/drawing/2014/chart" uri="{C3380CC4-5D6E-409C-BE32-E72D297353CC}">
              <c16:uniqueId val="{00000000-0F04-4E8B-AE23-14AD0C920B51}"/>
            </c:ext>
          </c:extLst>
        </c:ser>
        <c:ser>
          <c:idx val="1"/>
          <c:order val="1"/>
          <c:tx>
            <c:strRef>
              <c:f>'Cashflow Analysis'!$C$3</c:f>
              <c:strCache>
                <c:ptCount val="1"/>
                <c:pt idx="0">
                  <c:v>CapEx (Cr)</c:v>
                </c:pt>
              </c:strCache>
            </c:strRef>
          </c:tx>
          <c:spPr>
            <a:solidFill>
              <a:schemeClr val="accent2"/>
            </a:solidFill>
            <a:ln>
              <a:noFill/>
            </a:ln>
            <a:effectLst/>
          </c:spPr>
          <c:invertIfNegative val="0"/>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Analysis'!$C$4:$C$13</c:f>
              <c:numCache>
                <c:formatCode>General</c:formatCode>
                <c:ptCount val="10"/>
                <c:pt idx="0">
                  <c:v>550</c:v>
                </c:pt>
                <c:pt idx="1">
                  <c:v>4300</c:v>
                </c:pt>
                <c:pt idx="2">
                  <c:v>5850</c:v>
                </c:pt>
                <c:pt idx="3">
                  <c:v>1850</c:v>
                </c:pt>
                <c:pt idx="4">
                  <c:v>725</c:v>
                </c:pt>
                <c:pt idx="5">
                  <c:v>390</c:v>
                </c:pt>
                <c:pt idx="6">
                  <c:v>615</c:v>
                </c:pt>
                <c:pt idx="7">
                  <c:v>9550</c:v>
                </c:pt>
                <c:pt idx="8">
                  <c:v>2420</c:v>
                </c:pt>
                <c:pt idx="9">
                  <c:v>3650</c:v>
                </c:pt>
              </c:numCache>
            </c:numRef>
          </c:val>
          <c:extLst>
            <c:ext xmlns:c16="http://schemas.microsoft.com/office/drawing/2014/chart" uri="{C3380CC4-5D6E-409C-BE32-E72D297353CC}">
              <c16:uniqueId val="{00000001-0F04-4E8B-AE23-14AD0C920B51}"/>
            </c:ext>
          </c:extLst>
        </c:ser>
        <c:ser>
          <c:idx val="2"/>
          <c:order val="2"/>
          <c:tx>
            <c:strRef>
              <c:f>'Cashflow Analysis'!$D$3</c:f>
              <c:strCache>
                <c:ptCount val="1"/>
                <c:pt idx="0">
                  <c:v>Free Cash Flow (Cr)</c:v>
                </c:pt>
              </c:strCache>
            </c:strRef>
          </c:tx>
          <c:spPr>
            <a:solidFill>
              <a:schemeClr val="accent3"/>
            </a:solidFill>
            <a:ln>
              <a:noFill/>
            </a:ln>
            <a:effectLst/>
          </c:spPr>
          <c:invertIfNegative val="0"/>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Analysis'!$D$4:$D$13</c:f>
              <c:numCache>
                <c:formatCode>General</c:formatCode>
                <c:ptCount val="10"/>
                <c:pt idx="0">
                  <c:v>2300</c:v>
                </c:pt>
                <c:pt idx="1">
                  <c:v>24800</c:v>
                </c:pt>
                <c:pt idx="2">
                  <c:v>37700</c:v>
                </c:pt>
                <c:pt idx="3">
                  <c:v>8800</c:v>
                </c:pt>
                <c:pt idx="4">
                  <c:v>3400</c:v>
                </c:pt>
                <c:pt idx="5">
                  <c:v>1750</c:v>
                </c:pt>
                <c:pt idx="6">
                  <c:v>2690</c:v>
                </c:pt>
                <c:pt idx="7">
                  <c:v>59300</c:v>
                </c:pt>
                <c:pt idx="8">
                  <c:v>12600</c:v>
                </c:pt>
                <c:pt idx="9">
                  <c:v>19600</c:v>
                </c:pt>
              </c:numCache>
            </c:numRef>
          </c:val>
          <c:extLst>
            <c:ext xmlns:c16="http://schemas.microsoft.com/office/drawing/2014/chart" uri="{C3380CC4-5D6E-409C-BE32-E72D297353CC}">
              <c16:uniqueId val="{00000002-0F04-4E8B-AE23-14AD0C920B51}"/>
            </c:ext>
          </c:extLst>
        </c:ser>
        <c:dLbls>
          <c:showLegendKey val="0"/>
          <c:showVal val="0"/>
          <c:showCatName val="0"/>
          <c:showSerName val="0"/>
          <c:showPercent val="0"/>
          <c:showBubbleSize val="0"/>
        </c:dLbls>
        <c:gapWidth val="150"/>
        <c:overlap val="100"/>
        <c:axId val="1877612576"/>
        <c:axId val="1877628896"/>
      </c:barChart>
      <c:catAx>
        <c:axId val="187761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628896"/>
        <c:crosses val="autoZero"/>
        <c:auto val="1"/>
        <c:lblAlgn val="ctr"/>
        <c:lblOffset val="100"/>
        <c:noMultiLvlLbl val="0"/>
      </c:catAx>
      <c:valAx>
        <c:axId val="1877628896"/>
        <c:scaling>
          <c:orientation val="minMax"/>
          <c:min val="1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612576"/>
        <c:crosses val="autoZero"/>
        <c:crossBetween val="between"/>
      </c:valAx>
      <c:spPr>
        <a:solidFill>
          <a:srgbClr val="FFFF00">
            <a:alpha val="26000"/>
          </a:srgbClr>
        </a:solidFill>
        <a:ln>
          <a:noFill/>
        </a:ln>
        <a:effectLst/>
      </c:spPr>
    </c:plotArea>
    <c:legend>
      <c:legendPos val="t"/>
      <c:layout>
        <c:manualLayout>
          <c:xMode val="edge"/>
          <c:yMode val="edge"/>
          <c:x val="0.47212576763530417"/>
          <c:y val="1.4283140236761034E-2"/>
          <c:w val="0.51010137659890176"/>
          <c:h val="0.121974312984705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[Automated_Report_MS.xlsx]Market Capital!PivotTable2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latin typeface="Arial Black" panose="020B0A04020102020204" pitchFamily="34" charset="0"/>
              </a:rPr>
              <a:t>Market</a:t>
            </a:r>
            <a:r>
              <a:rPr lang="en-IN" sz="1600" baseline="0">
                <a:latin typeface="Arial Black" panose="020B0A04020102020204" pitchFamily="34" charset="0"/>
              </a:rPr>
              <a:t> Capitalization Share(%)</a:t>
            </a:r>
            <a:endParaRPr lang="en-IN" sz="1600">
              <a:latin typeface="Arial Black" panose="020B0A04020102020204" pitchFamily="34" charset="0"/>
            </a:endParaRPr>
          </a:p>
        </c:rich>
      </c:tx>
      <c:layout>
        <c:manualLayout>
          <c:xMode val="edge"/>
          <c:yMode val="edge"/>
          <c:x val="0.11767913609774887"/>
          <c:y val="3.809707710241941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8.8888888888888892E-2"/>
              <c:y val="-4.629629629629633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5422960725075534E-2"/>
              <c:y val="-0.10918354956520114"/>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lumMod val="60000"/>
            </a:schemeClr>
          </a:solidFill>
          <a:ln w="19050">
            <a:solidFill>
              <a:schemeClr val="lt1"/>
            </a:solidFill>
          </a:ln>
          <a:effectLst/>
        </c:spPr>
        <c:dLbl>
          <c:idx val="0"/>
          <c:layout>
            <c:manualLayout>
              <c:x val="-6.6666666666666693E-2"/>
              <c:y val="-8.796296296296296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60000"/>
            </a:schemeClr>
          </a:solidFill>
          <a:ln w="19050">
            <a:solidFill>
              <a:schemeClr val="lt1"/>
            </a:solidFill>
          </a:ln>
          <a:effectLst/>
        </c:spPr>
        <c:dLbl>
          <c:idx val="0"/>
          <c:layout>
            <c:manualLayout>
              <c:x val="-9.9999999999999992E-2"/>
              <c:y val="-3.7037037037037077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Lst>
        </c:dLbl>
      </c:pivotFmt>
      <c:pivotFmt>
        <c:idx val="5"/>
        <c:spPr>
          <a:solidFill>
            <a:schemeClr val="accent2">
              <a:lumMod val="60000"/>
            </a:schemeClr>
          </a:solidFill>
          <a:ln w="19050">
            <a:solidFill>
              <a:schemeClr val="lt1"/>
            </a:solidFill>
          </a:ln>
          <a:effectLst/>
        </c:spPr>
        <c:dLbl>
          <c:idx val="0"/>
          <c:layout>
            <c:manualLayout>
              <c:x val="-0.16593655589123868"/>
              <c:y val="-0.1339747122357037"/>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1903402558"/>
                  <c:h val="0.16571113664172762"/>
                </c:manualLayout>
              </c15:layout>
            </c:ext>
          </c:extLst>
        </c:dLbl>
      </c:pivotFmt>
      <c:pivotFmt>
        <c:idx val="6"/>
        <c:spPr>
          <a:solidFill>
            <a:schemeClr val="accent3"/>
          </a:solidFill>
          <a:ln w="19050">
            <a:solidFill>
              <a:schemeClr val="lt1"/>
            </a:solidFill>
          </a:ln>
          <a:effectLst/>
        </c:spPr>
        <c:dLbl>
          <c:idx val="0"/>
          <c:layout>
            <c:manualLayout>
              <c:x val="9.0634441087613288E-2"/>
              <c:y val="-0.1712962962962962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4"/>
          </a:solidFill>
          <a:ln w="19050">
            <a:solidFill>
              <a:schemeClr val="lt1"/>
            </a:solidFill>
          </a:ln>
          <a:effectLst/>
        </c:spPr>
        <c:dLbl>
          <c:idx val="0"/>
          <c:layout>
            <c:manualLayout>
              <c:x val="0.1636455186304128"/>
              <c:y val="0.1298107309540044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60000"/>
            </a:schemeClr>
          </a:solidFill>
          <a:ln w="19050">
            <a:solidFill>
              <a:schemeClr val="lt1"/>
            </a:solidFill>
          </a:ln>
          <a:effectLst/>
        </c:spPr>
        <c:dLbl>
          <c:idx val="0"/>
          <c:layout>
            <c:manualLayout>
              <c:x val="-0.23162134944612287"/>
              <c:y val="-0.1120666411360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solidFill>
          <a:ln w="19050">
            <a:solidFill>
              <a:schemeClr val="lt1"/>
            </a:solidFill>
          </a:ln>
          <a:effectLst/>
        </c:spPr>
        <c:dLbl>
          <c:idx val="0"/>
          <c:layout>
            <c:manualLayout>
              <c:x val="-0.23162134944612287"/>
              <c:y val="9.249368739939535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solidFill>
          <a:ln w="19050">
            <a:solidFill>
              <a:schemeClr val="lt1"/>
            </a:solidFill>
          </a:ln>
          <a:effectLst/>
        </c:spPr>
        <c:dLbl>
          <c:idx val="0"/>
          <c:layout>
            <c:manualLayout>
              <c:x val="-1.2588116817724161E-2"/>
              <c:y val="0.14630288651640949"/>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dLbl>
          <c:idx val="0"/>
          <c:layout>
            <c:manualLayout>
              <c:x val="8.5422960725075534E-2"/>
              <c:y val="-0.10918354956520114"/>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8.8888888888888892E-2"/>
              <c:y val="-4.629629629629633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9.0634441087613288E-2"/>
              <c:y val="-0.1712962962962962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636455186304128"/>
              <c:y val="0.1298107309540044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1.2588116817724161E-2"/>
              <c:y val="0.14630288651640949"/>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0.23162134944612287"/>
              <c:y val="9.249368739939535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dLbl>
          <c:idx val="0"/>
          <c:layout>
            <c:manualLayout>
              <c:x val="-0.23162134944612287"/>
              <c:y val="-0.1120666411360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dLbl>
          <c:idx val="0"/>
          <c:layout>
            <c:manualLayout>
              <c:x val="-0.16593655589123868"/>
              <c:y val="-0.1339747122357037"/>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1903402558"/>
                  <c:h val="0.16571113664172762"/>
                </c:manualLayout>
              </c15:layout>
            </c:ext>
          </c:extLst>
        </c:dLbl>
      </c:pivotFmt>
      <c:pivotFmt>
        <c:idx val="20"/>
        <c:spPr>
          <a:solidFill>
            <a:schemeClr val="accent1"/>
          </a:solidFill>
          <a:ln w="19050">
            <a:solidFill>
              <a:schemeClr val="lt1"/>
            </a:solidFill>
          </a:ln>
          <a:effectLst/>
        </c:spPr>
        <c:dLbl>
          <c:idx val="0"/>
          <c:layout>
            <c:manualLayout>
              <c:x val="-9.9999999999999992E-2"/>
              <c:y val="-3.7037037037037077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Lst>
        </c:dLbl>
      </c:pivotFmt>
      <c:pivotFmt>
        <c:idx val="21"/>
        <c:spPr>
          <a:solidFill>
            <a:schemeClr val="accent1"/>
          </a:solidFill>
          <a:ln w="19050">
            <a:solidFill>
              <a:schemeClr val="lt1"/>
            </a:solidFill>
          </a:ln>
          <a:effectLst/>
        </c:spPr>
        <c:dLbl>
          <c:idx val="0"/>
          <c:layout>
            <c:manualLayout>
              <c:x val="-6.6666666666666693E-2"/>
              <c:y val="-8.796296296296296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19050">
            <a:solidFill>
              <a:schemeClr val="lt1"/>
            </a:solidFill>
          </a:ln>
          <a:effectLst/>
        </c:spPr>
        <c:marker>
          <c:symbol val="none"/>
        </c:marker>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chemeClr val="accent1"/>
          </a:solidFill>
          <a:ln w="19050">
            <a:solidFill>
              <a:schemeClr val="lt1"/>
            </a:solidFill>
          </a:ln>
          <a:effectLst/>
        </c:spPr>
        <c:dLbl>
          <c:idx val="0"/>
          <c:layout>
            <c:manualLayout>
              <c:x val="8.5422960725075534E-2"/>
              <c:y val="-0.10918354956520114"/>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1"/>
          </a:solidFill>
          <a:ln w="19050">
            <a:solidFill>
              <a:schemeClr val="lt1"/>
            </a:solidFill>
          </a:ln>
          <a:effectLst/>
        </c:spPr>
        <c:dLbl>
          <c:idx val="0"/>
          <c:layout>
            <c:manualLayout>
              <c:x val="8.8888888888888892E-2"/>
              <c:y val="-4.629629629629633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dLbl>
          <c:idx val="0"/>
          <c:layout>
            <c:manualLayout>
              <c:x val="9.0634441087613288E-2"/>
              <c:y val="-0.1712962962962962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19050">
            <a:solidFill>
              <a:schemeClr val="lt1"/>
            </a:solidFill>
          </a:ln>
          <a:effectLst/>
        </c:spPr>
        <c:dLbl>
          <c:idx val="0"/>
          <c:layout>
            <c:manualLayout>
              <c:x val="0.1636455186304128"/>
              <c:y val="0.1298107309540044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chemeClr val="accent1"/>
          </a:solidFill>
          <a:ln w="19050">
            <a:solidFill>
              <a:schemeClr val="lt1"/>
            </a:solidFill>
          </a:ln>
          <a:effectLst/>
        </c:spPr>
        <c:dLbl>
          <c:idx val="0"/>
          <c:layout>
            <c:manualLayout>
              <c:x val="-1.2588116817724161E-2"/>
              <c:y val="0.14630288651640949"/>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chemeClr val="accent1"/>
          </a:solidFill>
          <a:ln w="19050">
            <a:solidFill>
              <a:schemeClr val="lt1"/>
            </a:solidFill>
          </a:ln>
          <a:effectLst/>
        </c:spPr>
        <c:dLbl>
          <c:idx val="0"/>
          <c:layout>
            <c:manualLayout>
              <c:x val="-0.23162134944612287"/>
              <c:y val="9.249368739939535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chemeClr val="accent1"/>
          </a:solidFill>
          <a:ln w="19050">
            <a:solidFill>
              <a:schemeClr val="lt1"/>
            </a:solidFill>
          </a:ln>
          <a:effectLst/>
        </c:spPr>
        <c:dLbl>
          <c:idx val="0"/>
          <c:layout>
            <c:manualLayout>
              <c:x val="-0.23162134944612287"/>
              <c:y val="-0.1120666411360501"/>
            </c:manualLayout>
          </c:layout>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dLbl>
          <c:idx val="0"/>
          <c:layout>
            <c:manualLayout>
              <c:x val="-0.18868960359505602"/>
              <c:y val="-0.1762452306637956"/>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20793134644"/>
                  <c:h val="0.20194314478806091"/>
                </c:manualLayout>
              </c15:layout>
            </c:ext>
          </c:extLst>
        </c:dLbl>
      </c:pivotFmt>
      <c:pivotFmt>
        <c:idx val="31"/>
        <c:spPr>
          <a:solidFill>
            <a:schemeClr val="accent1"/>
          </a:solidFill>
          <a:ln w="19050">
            <a:solidFill>
              <a:schemeClr val="lt1"/>
            </a:solidFill>
          </a:ln>
          <a:effectLst/>
        </c:spPr>
        <c:dLbl>
          <c:idx val="0"/>
          <c:layout>
            <c:manualLayout>
              <c:x val="-0.14266211604095566"/>
              <c:y val="-0.13365539452495975"/>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Lst>
        </c:dLbl>
      </c:pivotFmt>
      <c:pivotFmt>
        <c:idx val="32"/>
        <c:spPr>
          <a:solidFill>
            <a:schemeClr val="accent1"/>
          </a:solidFill>
          <a:ln w="19050">
            <a:solidFill>
              <a:schemeClr val="lt1"/>
            </a:solidFill>
          </a:ln>
          <a:effectLst/>
        </c:spPr>
        <c:dLbl>
          <c:idx val="0"/>
          <c:layout>
            <c:manualLayout>
              <c:x val="-6.6666666666666693E-2"/>
              <c:y val="-8.796296296296296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9526797631524726"/>
          <c:y val="0.22581900673173802"/>
          <c:w val="0.40068411954547978"/>
          <c:h val="0.62930696830156019"/>
        </c:manualLayout>
      </c:layout>
      <c:doughnutChart>
        <c:varyColors val="1"/>
        <c:ser>
          <c:idx val="0"/>
          <c:order val="0"/>
          <c:tx>
            <c:strRef>
              <c:f>'Market Capital'!$B$3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2C7-4097-AC21-679417E420C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2C7-4097-AC21-679417E420C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2C7-4097-AC21-679417E420C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2C7-4097-AC21-679417E420C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2C7-4097-AC21-679417E420C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2C7-4097-AC21-679417E420C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2C7-4097-AC21-679417E420C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2C7-4097-AC21-679417E420C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2C7-4097-AC21-679417E420C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F2C7-4097-AC21-679417E420CF}"/>
              </c:ext>
            </c:extLst>
          </c:dPt>
          <c:dLbls>
            <c:dLbl>
              <c:idx val="0"/>
              <c:layout>
                <c:manualLayout>
                  <c:x val="8.5422960725075534E-2"/>
                  <c:y val="-0.109183549565201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2C7-4097-AC21-679417E420CF}"/>
                </c:ext>
              </c:extLst>
            </c:dLbl>
            <c:dLbl>
              <c:idx val="1"/>
              <c:layout>
                <c:manualLayout>
                  <c:x val="8.8888888888888892E-2"/>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2C7-4097-AC21-679417E420CF}"/>
                </c:ext>
              </c:extLst>
            </c:dLbl>
            <c:dLbl>
              <c:idx val="2"/>
              <c:layout>
                <c:manualLayout>
                  <c:x val="9.0634441087613288E-2"/>
                  <c:y val="-0.171296296296296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2C7-4097-AC21-679417E420CF}"/>
                </c:ext>
              </c:extLst>
            </c:dLbl>
            <c:dLbl>
              <c:idx val="3"/>
              <c:layout>
                <c:manualLayout>
                  <c:x val="0.1636455186304128"/>
                  <c:y val="0.129810730954004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F2C7-4097-AC21-679417E420CF}"/>
                </c:ext>
              </c:extLst>
            </c:dLbl>
            <c:dLbl>
              <c:idx val="4"/>
              <c:layout>
                <c:manualLayout>
                  <c:x val="-1.2588116817724161E-2"/>
                  <c:y val="0.146302886516409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2C7-4097-AC21-679417E420CF}"/>
                </c:ext>
              </c:extLst>
            </c:dLbl>
            <c:dLbl>
              <c:idx val="5"/>
              <c:layout>
                <c:manualLayout>
                  <c:x val="-0.23162134944612287"/>
                  <c:y val="9.24936873993953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2C7-4097-AC21-679417E420CF}"/>
                </c:ext>
              </c:extLst>
            </c:dLbl>
            <c:dLbl>
              <c:idx val="6"/>
              <c:layout>
                <c:manualLayout>
                  <c:x val="-0.23162134944612287"/>
                  <c:y val="-0.1120666411360501"/>
                </c:manualLayout>
              </c:layout>
              <c:spPr>
                <a:solidFill>
                  <a:sysClr val="window" lastClr="FFFFFF"/>
                </a:solidFill>
                <a:ln>
                  <a:solidFill>
                    <a:srgbClr val="E97132"/>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D-F2C7-4097-AC21-679417E420CF}"/>
                </c:ext>
              </c:extLst>
            </c:dLbl>
            <c:dLbl>
              <c:idx val="7"/>
              <c:layout>
                <c:manualLayout>
                  <c:x val="-0.18868960359505602"/>
                  <c:y val="-0.1762452306637956"/>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20793134644"/>
                      <c:h val="0.20194314478806091"/>
                    </c:manualLayout>
                  </c15:layout>
                </c:ext>
                <c:ext xmlns:c16="http://schemas.microsoft.com/office/drawing/2014/chart" uri="{C3380CC4-5D6E-409C-BE32-E72D297353CC}">
                  <c16:uniqueId val="{0000000F-F2C7-4097-AC21-679417E420CF}"/>
                </c:ext>
              </c:extLst>
            </c:dLbl>
            <c:dLbl>
              <c:idx val="8"/>
              <c:layout>
                <c:manualLayout>
                  <c:x val="-0.14266211604095566"/>
                  <c:y val="-0.13365539452495975"/>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 xmlns:c16="http://schemas.microsoft.com/office/drawing/2014/chart" uri="{C3380CC4-5D6E-409C-BE32-E72D297353CC}">
                  <c16:uniqueId val="{00000011-F2C7-4097-AC21-679417E420CF}"/>
                </c:ext>
              </c:extLst>
            </c:dLbl>
            <c:dLbl>
              <c:idx val="9"/>
              <c:layout>
                <c:manualLayout>
                  <c:x val="-6.6666666666666693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F2C7-4097-AC21-679417E420CF}"/>
                </c:ext>
              </c:extLst>
            </c:dLbl>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'Market Capital'!$A$4:$A$14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'Market Capital'!$B$4:$B$14</c:f>
              <c:numCache>
                <c:formatCode>General</c:formatCode>
                <c:ptCount val="10"/>
                <c:pt idx="0">
                  <c:v>78300</c:v>
                </c:pt>
                <c:pt idx="1">
                  <c:v>872000</c:v>
                </c:pt>
                <c:pt idx="2">
                  <c:v>1422000</c:v>
                </c:pt>
                <c:pt idx="3">
                  <c:v>350250</c:v>
                </c:pt>
                <c:pt idx="4">
                  <c:v>104550</c:v>
                </c:pt>
                <c:pt idx="5">
                  <c:v>124300</c:v>
                </c:pt>
                <c:pt idx="6">
                  <c:v>96200</c:v>
                </c:pt>
                <c:pt idx="7">
                  <c:v>1224200</c:v>
                </c:pt>
                <c:pt idx="8">
                  <c:v>296200</c:v>
                </c:pt>
                <c:pt idx="9">
                  <c:v>641000</c:v>
                </c:pt>
              </c:numCache>
            </c:numRef>
          </c:val>
          <c:extLst>
            <c:ext xmlns:c16="http://schemas.microsoft.com/office/drawing/2014/chart" uri="{C3380CC4-5D6E-409C-BE32-E72D297353CC}">
              <c16:uniqueId val="{00000014-F2C7-4097-AC21-679417E420CF}"/>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[Automated_Report_MS.xlsx]Revenue Vs Profit Margin!PivotTable1</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latin typeface="Arial Black" panose="020B0A04020102020204" pitchFamily="34" charset="0"/>
              </a:rPr>
              <a:t>Revenue</a:t>
            </a:r>
            <a:r>
              <a:rPr lang="en-IN" baseline="0">
                <a:latin typeface="Arial Black" panose="020B0A04020102020204" pitchFamily="34" charset="0"/>
              </a:rPr>
              <a:t> VS Profit Margin</a:t>
            </a:r>
            <a:endParaRPr lang="en-IN">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70177866721534E-2"/>
          <c:y val="0.12472406181015452"/>
          <c:w val="0.8555062000860344"/>
          <c:h val="0.5786289131077158"/>
        </c:manualLayout>
      </c:layout>
      <c:barChart>
        <c:barDir val="col"/>
        <c:grouping val="clustered"/>
        <c:varyColors val="0"/>
        <c:ser>
          <c:idx val="0"/>
          <c:order val="0"/>
          <c:tx>
            <c:strRef>
              <c:f>'Revenue Vs Profit Margin'!$B$3</c:f>
              <c:strCache>
                <c:ptCount val="1"/>
                <c:pt idx="0">
                  <c:v>Sum of Revenue (Cr INR)</c:v>
                </c:pt>
              </c:strCache>
            </c:strRef>
          </c:tx>
          <c:spPr>
            <a:solidFill>
              <a:schemeClr val="accent1"/>
            </a:solidFill>
            <a:ln>
              <a:noFill/>
            </a:ln>
            <a:effectLst/>
          </c:spPr>
          <c:invertIfNegative val="0"/>
          <c:cat>
            <c:strRef>
              <c:f>'Revenue Vs Profit Margin'!$A$4:$A$14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'Revenue Vs Profit Margin'!$B$4:$B$14</c:f>
              <c:numCache>
                <c:formatCode>General</c:formatCode>
                <c:ptCount val="10"/>
                <c:pt idx="0">
                  <c:v>5850</c:v>
                </c:pt>
                <c:pt idx="1">
                  <c:v>60400</c:v>
                </c:pt>
                <c:pt idx="2">
                  <c:v>80300</c:v>
                </c:pt>
                <c:pt idx="3">
                  <c:v>22400</c:v>
                </c:pt>
                <c:pt idx="4">
                  <c:v>8450</c:v>
                </c:pt>
                <c:pt idx="5">
                  <c:v>4325</c:v>
                </c:pt>
                <c:pt idx="6">
                  <c:v>6800</c:v>
                </c:pt>
                <c:pt idx="7">
                  <c:v>128600</c:v>
                </c:pt>
                <c:pt idx="8">
                  <c:v>30350</c:v>
                </c:pt>
                <c:pt idx="9">
                  <c:v>44900</c:v>
                </c:pt>
              </c:numCache>
            </c:numRef>
          </c:val>
          <c:extLst>
            <c:ext xmlns:c16="http://schemas.microsoft.com/office/drawing/2014/chart" uri="{C3380CC4-5D6E-409C-BE32-E72D297353CC}">
              <c16:uniqueId val="{00000000-C144-4693-8C59-D9550E3A6940}"/>
            </c:ext>
          </c:extLst>
        </c:ser>
        <c:dLbls>
          <c:showLegendKey val="0"/>
          <c:showVal val="0"/>
          <c:showCatName val="0"/>
          <c:showSerName val="0"/>
          <c:showPercent val="0"/>
          <c:showBubbleSize val="0"/>
        </c:dLbls>
        <c:gapWidth val="269"/>
        <c:axId val="630530896"/>
        <c:axId val="630518896"/>
      </c:barChart>
      <c:lineChart>
        <c:grouping val="standard"/>
        <c:varyColors val="0"/>
        <c:ser>
          <c:idx val="1"/>
          <c:order val="1"/>
          <c:tx>
            <c:strRef>
              <c:f>'Revenue Vs Profit Margin'!$C$3</c:f>
              <c:strCache>
                <c:ptCount val="1"/>
                <c:pt idx="0">
                  <c:v>Sum of Profit Margin(%)</c:v>
                </c:pt>
              </c:strCache>
            </c:strRef>
          </c:tx>
          <c:spPr>
            <a:ln w="38100" cap="rnd">
              <a:solidFill>
                <a:schemeClr val="accent2"/>
              </a:solidFill>
              <a:round/>
            </a:ln>
            <a:effectLst/>
          </c:spPr>
          <c:marker>
            <c:symbol val="circle"/>
            <c:size val="8"/>
            <c:spPr>
              <a:solidFill>
                <a:schemeClr val="accent2"/>
              </a:solidFill>
              <a:ln>
                <a:noFill/>
              </a:ln>
              <a:effectLst/>
            </c:spPr>
          </c:marker>
          <c:cat>
            <c:strRef>
              <c:f>'Revenue Vs Profit Margin'!$A$4:$A$14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'Revenue Vs Profit Margin'!$C$4:$C$14</c:f>
              <c:numCache>
                <c:formatCode>0.00</c:formatCode>
                <c:ptCount val="10"/>
                <c:pt idx="0">
                  <c:v>0.32144944476914084</c:v>
                </c:pt>
                <c:pt idx="1">
                  <c:v>0.3350958705097104</c:v>
                </c:pt>
                <c:pt idx="2">
                  <c:v>0.39476867532660886</c:v>
                </c:pt>
                <c:pt idx="3">
                  <c:v>0.29913303437967115</c:v>
                </c:pt>
                <c:pt idx="4">
                  <c:v>0.33613445378151263</c:v>
                </c:pt>
                <c:pt idx="5">
                  <c:v>0.38150227211975407</c:v>
                </c:pt>
                <c:pt idx="6">
                  <c:v>0.3191650443434999</c:v>
                </c:pt>
                <c:pt idx="7">
                  <c:v>0.37685880051638809</c:v>
                </c:pt>
                <c:pt idx="8">
                  <c:v>0.23395939637390079</c:v>
                </c:pt>
                <c:pt idx="9">
                  <c:v>0.2861954365079365</c:v>
                </c:pt>
              </c:numCache>
            </c:numRef>
          </c:val>
          <c:smooth val="0"/>
          <c:extLst>
            <c:ext xmlns:c16="http://schemas.microsoft.com/office/drawing/2014/chart" uri="{C3380CC4-5D6E-409C-BE32-E72D297353CC}">
              <c16:uniqueId val="{00000001-C144-4693-8C59-D9550E3A6940}"/>
            </c:ext>
          </c:extLst>
        </c:ser>
        <c:dLbls>
          <c:showLegendKey val="0"/>
          <c:showVal val="0"/>
          <c:showCatName val="0"/>
          <c:showSerName val="0"/>
          <c:showPercent val="0"/>
          <c:showBubbleSize val="0"/>
        </c:dLbls>
        <c:marker val="1"/>
        <c:smooth val="0"/>
        <c:axId val="630683536"/>
        <c:axId val="630682576"/>
      </c:lineChart>
      <c:catAx>
        <c:axId val="6305308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30518896"/>
        <c:crosses val="autoZero"/>
        <c:auto val="1"/>
        <c:lblAlgn val="ctr"/>
        <c:lblOffset val="100"/>
        <c:noMultiLvlLbl val="0"/>
      </c:catAx>
      <c:valAx>
        <c:axId val="630518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530896"/>
        <c:crosses val="autoZero"/>
        <c:crossBetween val="between"/>
      </c:valAx>
      <c:valAx>
        <c:axId val="630682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83536"/>
        <c:crosses val="max"/>
        <c:crossBetween val="between"/>
      </c:valAx>
      <c:catAx>
        <c:axId val="630683536"/>
        <c:scaling>
          <c:orientation val="minMax"/>
        </c:scaling>
        <c:delete val="1"/>
        <c:axPos val="b"/>
        <c:numFmt formatCode="General" sourceLinked="1"/>
        <c:majorTickMark val="out"/>
        <c:minorTickMark val="none"/>
        <c:tickLblPos val="nextTo"/>
        <c:crossAx val="63068257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[Automated_Report_MS.xlsx]Cashflow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latin typeface="Arial Black" panose="020B0A04020102020204" pitchFamily="34" charset="0"/>
              </a:rPr>
              <a:t>Cash</a:t>
            </a:r>
            <a:r>
              <a:rPr lang="en-IN" b="1" baseline="0">
                <a:latin typeface="Arial Black" panose="020B0A04020102020204" pitchFamily="34" charset="0"/>
              </a:rPr>
              <a:t>flow Analysis </a:t>
            </a:r>
            <a:endParaRPr lang="en-IN" b="1">
              <a:latin typeface="Arial Black" panose="020B0A04020102020204" pitchFamily="34" charset="0"/>
            </a:endParaRPr>
          </a:p>
        </c:rich>
      </c:tx>
      <c:layout>
        <c:manualLayout>
          <c:xMode val="edge"/>
          <c:yMode val="edge"/>
          <c:x val="0.13548022598870058"/>
          <c:y val="1.30320666438434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31284153005466"/>
          <c:y val="0.1353712118584296"/>
          <c:w val="0.72100409836065571"/>
          <c:h val="0.790773179784245"/>
        </c:manualLayout>
      </c:layout>
      <c:barChart>
        <c:barDir val="bar"/>
        <c:grouping val="stacked"/>
        <c:varyColors val="0"/>
        <c:ser>
          <c:idx val="0"/>
          <c:order val="0"/>
          <c:tx>
            <c:strRef>
              <c:f>'Cashflow Analysis'!$B$3</c:f>
              <c:strCache>
                <c:ptCount val="1"/>
                <c:pt idx="0">
                  <c:v>Cash Flow from Operations (Cr)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Analysis'!$B$4:$B$13</c:f>
              <c:numCache>
                <c:formatCode>General</c:formatCode>
                <c:ptCount val="10"/>
                <c:pt idx="0">
                  <c:v>2690</c:v>
                </c:pt>
                <c:pt idx="1">
                  <c:v>28500</c:v>
                </c:pt>
                <c:pt idx="2">
                  <c:v>44500</c:v>
                </c:pt>
                <c:pt idx="3">
                  <c:v>10300</c:v>
                </c:pt>
                <c:pt idx="4">
                  <c:v>3750</c:v>
                </c:pt>
                <c:pt idx="5">
                  <c:v>1965</c:v>
                </c:pt>
                <c:pt idx="6">
                  <c:v>3000</c:v>
                </c:pt>
                <c:pt idx="7">
                  <c:v>84500</c:v>
                </c:pt>
                <c:pt idx="8">
                  <c:v>14500</c:v>
                </c:pt>
                <c:pt idx="9">
                  <c:v>23700</c:v>
                </c:pt>
              </c:numCache>
            </c:numRef>
          </c:val>
          <c:extLst>
            <c:ext xmlns:c16="http://schemas.microsoft.com/office/drawing/2014/chart" uri="{C3380CC4-5D6E-409C-BE32-E72D297353CC}">
              <c16:uniqueId val="{00000000-FDE7-493F-BE09-EB5BD82D6E82}"/>
            </c:ext>
          </c:extLst>
        </c:ser>
        <c:ser>
          <c:idx val="1"/>
          <c:order val="1"/>
          <c:tx>
            <c:strRef>
              <c:f>'Cashflow Analysis'!$C$3</c:f>
              <c:strCache>
                <c:ptCount val="1"/>
                <c:pt idx="0">
                  <c:v>CapEx (Cr)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Analysis'!$C$4:$C$13</c:f>
              <c:numCache>
                <c:formatCode>General</c:formatCode>
                <c:ptCount val="10"/>
                <c:pt idx="0">
                  <c:v>550</c:v>
                </c:pt>
                <c:pt idx="1">
                  <c:v>4300</c:v>
                </c:pt>
                <c:pt idx="2">
                  <c:v>5850</c:v>
                </c:pt>
                <c:pt idx="3">
                  <c:v>1850</c:v>
                </c:pt>
                <c:pt idx="4">
                  <c:v>725</c:v>
                </c:pt>
                <c:pt idx="5">
                  <c:v>390</c:v>
                </c:pt>
                <c:pt idx="6">
                  <c:v>615</c:v>
                </c:pt>
                <c:pt idx="7">
                  <c:v>9550</c:v>
                </c:pt>
                <c:pt idx="8">
                  <c:v>2420</c:v>
                </c:pt>
                <c:pt idx="9">
                  <c:v>3650</c:v>
                </c:pt>
              </c:numCache>
            </c:numRef>
          </c:val>
          <c:extLst>
            <c:ext xmlns:c16="http://schemas.microsoft.com/office/drawing/2014/chart" uri="{C3380CC4-5D6E-409C-BE32-E72D297353CC}">
              <c16:uniqueId val="{00000001-FDE7-493F-BE09-EB5BD82D6E82}"/>
            </c:ext>
          </c:extLst>
        </c:ser>
        <c:ser>
          <c:idx val="2"/>
          <c:order val="2"/>
          <c:tx>
            <c:strRef>
              <c:f>'Cashflow Analysis'!$D$3</c:f>
              <c:strCache>
                <c:ptCount val="1"/>
                <c:pt idx="0">
                  <c:v>Free Cash Flow (Cr)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'Cashflow Analysis'!$A$4:$A$13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'Cashflow Analysis'!$D$4:$D$13</c:f>
              <c:numCache>
                <c:formatCode>General</c:formatCode>
                <c:ptCount val="10"/>
                <c:pt idx="0">
                  <c:v>2300</c:v>
                </c:pt>
                <c:pt idx="1">
                  <c:v>24800</c:v>
                </c:pt>
                <c:pt idx="2">
                  <c:v>37700</c:v>
                </c:pt>
                <c:pt idx="3">
                  <c:v>8800</c:v>
                </c:pt>
                <c:pt idx="4">
                  <c:v>3400</c:v>
                </c:pt>
                <c:pt idx="5">
                  <c:v>1750</c:v>
                </c:pt>
                <c:pt idx="6">
                  <c:v>2690</c:v>
                </c:pt>
                <c:pt idx="7">
                  <c:v>59300</c:v>
                </c:pt>
                <c:pt idx="8">
                  <c:v>12600</c:v>
                </c:pt>
                <c:pt idx="9">
                  <c:v>19600</c:v>
                </c:pt>
              </c:numCache>
            </c:numRef>
          </c:val>
          <c:extLst>
            <c:ext xmlns:c16="http://schemas.microsoft.com/office/drawing/2014/chart" uri="{C3380CC4-5D6E-409C-BE32-E72D297353CC}">
              <c16:uniqueId val="{00000002-FDE7-493F-BE09-EB5BD82D6E82}"/>
            </c:ext>
          </c:extLst>
        </c:ser>
        <c:dLbls>
          <c:dLblPos val="ctr"/>
          <c:showLegendKey val="0"/>
          <c:showVal val="1"/>
          <c:showCatName val="0"/>
          <c:showSerName val="0"/>
          <c:showPercent val="0"/>
          <c:showBubbleSize val="0"/>
        </c:dLbls>
        <c:gapWidth val="150"/>
        <c:overlap val="100"/>
        <c:axId val="1877612576"/>
        <c:axId val="1877628896"/>
      </c:barChart>
      <c:catAx>
        <c:axId val="187761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628896"/>
        <c:crosses val="autoZero"/>
        <c:auto val="1"/>
        <c:lblAlgn val="ctr"/>
        <c:lblOffset val="100"/>
        <c:noMultiLvlLbl val="0"/>
      </c:catAx>
      <c:valAx>
        <c:axId val="1877628896"/>
        <c:scaling>
          <c:orientation val="minMax"/>
          <c:min val="100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612576"/>
        <c:crosses val="autoZero"/>
        <c:crossBetween val="between"/>
      </c:valAx>
      <c:spPr>
        <a:solidFill>
          <a:srgbClr val="FFFF00">
            <a:alpha val="26000"/>
          </a:srgbClr>
        </a:solidFill>
        <a:ln>
          <a:noFill/>
        </a:ln>
        <a:effectLst/>
      </c:spPr>
    </c:plotArea>
    <c:legend>
      <c:legendPos val="t"/>
      <c:layout>
        <c:manualLayout>
          <c:xMode val="edge"/>
          <c:yMode val="edge"/>
          <c:x val="0.49046591633672915"/>
          <c:y val="1.4283140236761034E-2"/>
          <c:w val="0.49176119934160772"/>
          <c:h val="6.435971819312059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[Automated_Report_MS.xlsx]Net Profit Chart!PivotTable2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latin typeface="Arial Black" panose="020B0A04020102020204" pitchFamily="34" charset="0"/>
              </a:rPr>
              <a:t>Net</a:t>
            </a:r>
            <a:r>
              <a:rPr lang="en-US" baseline="0">
                <a:latin typeface="Arial Black" panose="020B0A04020102020204" pitchFamily="34" charset="0"/>
              </a:rPr>
              <a:t> Profit Comparison </a:t>
            </a:r>
            <a:endParaRPr lang="en-US">
              <a:latin typeface="Arial Black" panose="020B0A04020102020204" pitchFamily="34" charset="0"/>
            </a:endParaRPr>
          </a:p>
        </c:rich>
      </c:tx>
      <c:layout>
        <c:manualLayout>
          <c:xMode val="edge"/>
          <c:yMode val="edge"/>
          <c:x val="0.24428526830621944"/>
          <c:y val="3.4695639006662622E-2"/>
        </c:manualLayout>
      </c:layout>
      <c:overlay val="0"/>
      <c:spPr>
        <a:solidFill>
          <a:schemeClr val="accent1">
            <a:lumMod val="40000"/>
            <a:lumOff val="60000"/>
          </a:schemeClr>
        </a:solid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464840573342446E-2"/>
          <c:y val="0.14339869775893399"/>
          <c:w val="0.87858753338652051"/>
          <c:h val="0.46736438957099896"/>
        </c:manualLayout>
      </c:layout>
      <c:barChart>
        <c:barDir val="col"/>
        <c:grouping val="clustered"/>
        <c:varyColors val="0"/>
        <c:ser>
          <c:idx val="0"/>
          <c:order val="0"/>
          <c:tx>
            <c:strRef>
              <c:f>'Net Profit Chart'!$B$3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'Net Profit Chart'!$A$4:$A$13</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'Net Profit Chart'!$B$4:$B$13</c:f>
              <c:numCache>
                <c:formatCode>General</c:formatCode>
                <c:ptCount val="10"/>
                <c:pt idx="0">
                  <c:v>940</c:v>
                </c:pt>
                <c:pt idx="1">
                  <c:v>10120</c:v>
                </c:pt>
                <c:pt idx="2">
                  <c:v>15850</c:v>
                </c:pt>
                <c:pt idx="3">
                  <c:v>3350</c:v>
                </c:pt>
                <c:pt idx="4">
                  <c:v>1420</c:v>
                </c:pt>
                <c:pt idx="5">
                  <c:v>825</c:v>
                </c:pt>
                <c:pt idx="6">
                  <c:v>1085</c:v>
                </c:pt>
                <c:pt idx="7">
                  <c:v>24232</c:v>
                </c:pt>
                <c:pt idx="8">
                  <c:v>3550</c:v>
                </c:pt>
                <c:pt idx="9">
                  <c:v>6425</c:v>
                </c:pt>
              </c:numCache>
            </c:numRef>
          </c:val>
          <c:extLst>
            <c:ext xmlns:c16="http://schemas.microsoft.com/office/drawing/2014/chart" uri="{C3380CC4-5D6E-409C-BE32-E72D297353CC}">
              <c16:uniqueId val="{00000000-EA7C-4535-95D2-606255044DC7}"/>
            </c:ext>
          </c:extLst>
        </c:ser>
        <c:dLbls>
          <c:dLblPos val="outEnd"/>
          <c:showLegendKey val="0"/>
          <c:showVal val="1"/>
          <c:showCatName val="0"/>
          <c:showSerName val="0"/>
          <c:showPercent val="0"/>
          <c:showBubbleSize val="0"/>
        </c:dLbls>
        <c:gapWidth val="41"/>
        <c:axId val="495456783"/>
        <c:axId val="495460623"/>
      </c:barChart>
      <c:catAx>
        <c:axId val="4954567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495460623"/>
        <c:crosses val="autoZero"/>
        <c:auto val="1"/>
        <c:lblAlgn val="ctr"/>
        <c:lblOffset val="100"/>
        <c:noMultiLvlLbl val="0"/>
      </c:catAx>
      <c:valAx>
        <c:axId val="495460623"/>
        <c:scaling>
          <c:orientation val="minMax"/>
        </c:scaling>
        <c:delete val="1"/>
        <c:axPos val="l"/>
        <c:numFmt formatCode="General" sourceLinked="1"/>
        <c:majorTickMark val="none"/>
        <c:minorTickMark val="none"/>
        <c:tickLblPos val="nextTo"/>
        <c:crossAx val="495456783"/>
        <c:crosses val="autoZero"/>
        <c:crossBetween val="between"/>
      </c:valAx>
      <c:spPr>
        <a:solidFill>
          <a:schemeClr val="accent3">
            <a:lumMod val="60000"/>
            <a:lumOff val="40000"/>
            <a:alpha val="29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[Automated_Report_MS.xlsx]Market Capital!PivotTable2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latin typeface="Arial Black" panose="020B0A04020102020204" pitchFamily="34" charset="0"/>
              </a:rPr>
              <a:t>Market</a:t>
            </a:r>
            <a:r>
              <a:rPr lang="en-IN" sz="1600" baseline="0">
                <a:latin typeface="Arial Black" panose="020B0A04020102020204" pitchFamily="34" charset="0"/>
              </a:rPr>
              <a:t> Capitalization Share(%)</a:t>
            </a:r>
            <a:endParaRPr lang="en-IN" sz="1600">
              <a:latin typeface="Arial Black" panose="020B0A04020102020204" pitchFamily="34" charset="0"/>
            </a:endParaRPr>
          </a:p>
        </c:rich>
      </c:tx>
      <c:layout>
        <c:manualLayout>
          <c:xMode val="edge"/>
          <c:yMode val="edge"/>
          <c:x val="0.13758811681772409"/>
          <c:y val="1.7433751743375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8.8888888888888892E-2"/>
              <c:y val="-4.629629629629633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8.5422960725075534E-2"/>
              <c:y val="-0.10918354956520114"/>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6.6666666666666693E-2"/>
              <c:y val="-8.796296296296296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9999999999999992E-2"/>
              <c:y val="-3.7037037037037077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Lst>
        </c:dLbl>
      </c:pivotFmt>
      <c:pivotFmt>
        <c:idx val="5"/>
        <c:spPr>
          <a:solidFill>
            <a:schemeClr val="accent1"/>
          </a:solidFill>
          <a:ln w="19050">
            <a:solidFill>
              <a:schemeClr val="lt1"/>
            </a:solidFill>
          </a:ln>
          <a:effectLst/>
        </c:spPr>
        <c:dLbl>
          <c:idx val="0"/>
          <c:layout>
            <c:manualLayout>
              <c:x val="-0.16593655589123868"/>
              <c:y val="-0.1339747122357037"/>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1903402558"/>
                  <c:h val="0.16571113664172762"/>
                </c:manualLayout>
              </c15:layout>
            </c:ext>
          </c:extLst>
        </c:dLbl>
      </c:pivotFmt>
      <c:pivotFmt>
        <c:idx val="6"/>
        <c:spPr>
          <a:solidFill>
            <a:schemeClr val="accent1"/>
          </a:solidFill>
          <a:ln w="19050">
            <a:solidFill>
              <a:schemeClr val="lt1"/>
            </a:solidFill>
          </a:ln>
          <a:effectLst/>
        </c:spPr>
        <c:dLbl>
          <c:idx val="0"/>
          <c:layout>
            <c:manualLayout>
              <c:x val="9.0634441087613288E-2"/>
              <c:y val="-0.1712962962962962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636455186304128"/>
              <c:y val="0.1298107309540044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23162134944612287"/>
              <c:y val="-0.1120666411360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23162134944612287"/>
              <c:y val="9.2493687399395355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1.2588116817724161E-2"/>
              <c:y val="0.14630288651640949"/>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128034033510162"/>
          <c:y val="0.21438572793463581"/>
          <c:w val="0.40068411954547978"/>
          <c:h val="0.62930696830156019"/>
        </c:manualLayout>
      </c:layout>
      <c:doughnutChart>
        <c:varyColors val="1"/>
        <c:ser>
          <c:idx val="0"/>
          <c:order val="0"/>
          <c:tx>
            <c:strRef>
              <c:f>'Market Capital'!$B$3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ABD1-423B-A40F-43D3A0B01B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BD1-423B-A40F-43D3A0B01B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7-ABD1-423B-A40F-43D3A0B01B6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ABD1-423B-A40F-43D3A0B01B6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B-ABD1-423B-A40F-43D3A0B01B6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A-ABD1-423B-A40F-43D3A0B01B6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9-ABD1-423B-A40F-43D3A0B01B6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6-ABD1-423B-A40F-43D3A0B01B64}"/>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ABD1-423B-A40F-43D3A0B01B64}"/>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4-ABD1-423B-A40F-43D3A0B01B64}"/>
              </c:ext>
            </c:extLst>
          </c:dPt>
          <c:dLbls>
            <c:dLbl>
              <c:idx val="0"/>
              <c:layout>
                <c:manualLayout>
                  <c:x val="8.5422960725075534E-2"/>
                  <c:y val="-0.1091835495652011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BD1-423B-A40F-43D3A0B01B64}"/>
                </c:ext>
              </c:extLst>
            </c:dLbl>
            <c:dLbl>
              <c:idx val="1"/>
              <c:layout>
                <c:manualLayout>
                  <c:x val="8.8888888888888892E-2"/>
                  <c:y val="-4.629629629629633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ABD1-423B-A40F-43D3A0B01B64}"/>
                </c:ext>
              </c:extLst>
            </c:dLbl>
            <c:dLbl>
              <c:idx val="2"/>
              <c:layout>
                <c:manualLayout>
                  <c:x val="9.0634441087613288E-2"/>
                  <c:y val="-0.171296296296296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BD1-423B-A40F-43D3A0B01B64}"/>
                </c:ext>
              </c:extLst>
            </c:dLbl>
            <c:dLbl>
              <c:idx val="3"/>
              <c:layout>
                <c:manualLayout>
                  <c:x val="0.1636455186304128"/>
                  <c:y val="0.129810730954004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ABD1-423B-A40F-43D3A0B01B64}"/>
                </c:ext>
              </c:extLst>
            </c:dLbl>
            <c:dLbl>
              <c:idx val="4"/>
              <c:layout>
                <c:manualLayout>
                  <c:x val="-1.2588116817724161E-2"/>
                  <c:y val="0.1463028865164094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BD1-423B-A40F-43D3A0B01B64}"/>
                </c:ext>
              </c:extLst>
            </c:dLbl>
            <c:dLbl>
              <c:idx val="5"/>
              <c:layout>
                <c:manualLayout>
                  <c:x val="-0.23162134944612287"/>
                  <c:y val="9.249368739939535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A-ABD1-423B-A40F-43D3A0B01B64}"/>
                </c:ext>
              </c:extLst>
            </c:dLbl>
            <c:dLbl>
              <c:idx val="6"/>
              <c:layout>
                <c:manualLayout>
                  <c:x val="-0.23162134944612287"/>
                  <c:y val="-0.112066641136050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ABD1-423B-A40F-43D3A0B01B64}"/>
                </c:ext>
              </c:extLst>
            </c:dLbl>
            <c:dLbl>
              <c:idx val="7"/>
              <c:layout>
                <c:manualLayout>
                  <c:x val="-0.16593655589123868"/>
                  <c:y val="-0.1339747122357037"/>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60361903402558"/>
                      <c:h val="0.16571113664172762"/>
                    </c:manualLayout>
                  </c15:layout>
                </c:ext>
                <c:ext xmlns:c16="http://schemas.microsoft.com/office/drawing/2014/chart" uri="{C3380CC4-5D6E-409C-BE32-E72D297353CC}">
                  <c16:uniqueId val="{00000006-ABD1-423B-A40F-43D3A0B01B64}"/>
                </c:ext>
              </c:extLst>
            </c:dLbl>
            <c:dLbl>
              <c:idx val="8"/>
              <c:layout>
                <c:manualLayout>
                  <c:x val="-9.9999999999999992E-2"/>
                  <c:y val="-3.7037037037037077E-2"/>
                </c:manualLayout>
              </c:layout>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343853893263343"/>
                      <c:h val="0.11673082531350248"/>
                    </c:manualLayout>
                  </c15:layout>
                </c:ext>
                <c:ext xmlns:c16="http://schemas.microsoft.com/office/drawing/2014/chart" uri="{C3380CC4-5D6E-409C-BE32-E72D297353CC}">
                  <c16:uniqueId val="{00000005-ABD1-423B-A40F-43D3A0B01B64}"/>
                </c:ext>
              </c:extLst>
            </c:dLbl>
            <c:dLbl>
              <c:idx val="9"/>
              <c:layout>
                <c:manualLayout>
                  <c:x val="-6.6666666666666693E-2"/>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BD1-423B-A40F-43D3A0B01B64}"/>
                </c:ext>
              </c:extLst>
            </c:dLbl>
            <c:spPr>
              <a:solidFill>
                <a:sysClr val="window" lastClr="FFFFFF"/>
              </a:solidFill>
              <a:ln>
                <a:solidFill>
                  <a:srgbClr val="FFC000"/>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'Market Capital'!$A$4:$A$14</c:f>
              <c:strCache>
                <c:ptCount val="10"/>
                <c:pt idx="0">
                  <c:v>Coforge</c:v>
                </c:pt>
                <c:pt idx="1">
                  <c:v>HCLTech</c:v>
                </c:pt>
                <c:pt idx="2">
                  <c:v>Infosys</c:v>
                </c:pt>
                <c:pt idx="3">
                  <c:v>LTIMindtree</c:v>
                </c:pt>
                <c:pt idx="4">
                  <c:v>Mphasis</c:v>
                </c:pt>
                <c:pt idx="5">
                  <c:v>Oracle Financial Services Software</c:v>
                </c:pt>
                <c:pt idx="6">
                  <c:v>Persistent Systems</c:v>
                </c:pt>
                <c:pt idx="7">
                  <c:v>Tata Consultancy Services</c:v>
                </c:pt>
                <c:pt idx="8">
                  <c:v>Tech Mahindra</c:v>
                </c:pt>
                <c:pt idx="9">
                  <c:v>Wipro</c:v>
                </c:pt>
              </c:strCache>
            </c:strRef>
          </c:cat>
          <c:val>
            <c:numRef>
              <c:f>'Market Capital'!$B$4:$B$14</c:f>
              <c:numCache>
                <c:formatCode>General</c:formatCode>
                <c:ptCount val="10"/>
                <c:pt idx="0">
                  <c:v>78300</c:v>
                </c:pt>
                <c:pt idx="1">
                  <c:v>872000</c:v>
                </c:pt>
                <c:pt idx="2">
                  <c:v>1422000</c:v>
                </c:pt>
                <c:pt idx="3">
                  <c:v>350250</c:v>
                </c:pt>
                <c:pt idx="4">
                  <c:v>104550</c:v>
                </c:pt>
                <c:pt idx="5">
                  <c:v>124300</c:v>
                </c:pt>
                <c:pt idx="6">
                  <c:v>96200</c:v>
                </c:pt>
                <c:pt idx="7">
                  <c:v>1224200</c:v>
                </c:pt>
                <c:pt idx="8">
                  <c:v>296200</c:v>
                </c:pt>
                <c:pt idx="9">
                  <c:v>641000</c:v>
                </c:pt>
              </c:numCache>
            </c:numRef>
          </c:val>
          <c:extLst>
            <c:ext xmlns:c16="http://schemas.microsoft.com/office/drawing/2014/chart" uri="{C3380CC4-5D6E-409C-BE32-E72D297353CC}">
              <c16:uniqueId val="{00000000-ABD1-423B-A40F-43D3A0B01B64}"/>
            </c:ext>
          </c:extLst>
        </c:ser>
        <c:dLbls>
          <c:showLegendKey val="0"/>
          <c:showVal val="1"/>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22860</xdr:colOff>
      <xdr:row>4</xdr:row>
      <xdr:rowOff>0</xdr:rowOff>
    </xdr:from>
    <xdr:to>
      <xdr:col>7</xdr:col>
      <xdr:colOff>403860</xdr:colOff>
      <xdr:row>22</xdr:row>
      <xdr:rowOff>22860</xdr:rowOff>
    </xdr:to>
    <xdr:graphicFrame macro="">
      <xdr:nvGraphicFramePr>
        <xdr:cNvPr id="4" name="Chart 3">
          <a:extLst>
            <a:ext uri="{FF2B5EF4-FFF2-40B4-BE49-F238E27FC236}">
              <a16:creationId xmlns:a16="http://schemas.microsoft.com/office/drawing/2014/main" id="{493B900C-124E-421C-967B-12902D01A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22860</xdr:rowOff>
    </xdr:from>
    <xdr:to>
      <xdr:col>7</xdr:col>
      <xdr:colOff>419100</xdr:colOff>
      <xdr:row>37</xdr:row>
      <xdr:rowOff>160020</xdr:rowOff>
    </xdr:to>
    <xdr:graphicFrame macro="">
      <xdr:nvGraphicFramePr>
        <xdr:cNvPr id="6" name="Chart 5">
          <a:extLst>
            <a:ext uri="{FF2B5EF4-FFF2-40B4-BE49-F238E27FC236}">
              <a16:creationId xmlns:a16="http://schemas.microsoft.com/office/drawing/2014/main" id="{6B75B767-C050-4C05-B61E-9D1B403155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xdr:row>
      <xdr:rowOff>0</xdr:rowOff>
    </xdr:from>
    <xdr:to>
      <xdr:col>24</xdr:col>
      <xdr:colOff>15240</xdr:colOff>
      <xdr:row>4</xdr:row>
      <xdr:rowOff>30480</xdr:rowOff>
    </xdr:to>
    <xdr:sp macro="" textlink="">
      <xdr:nvSpPr>
        <xdr:cNvPr id="7" name="TextBox 6">
          <a:extLst>
            <a:ext uri="{FF2B5EF4-FFF2-40B4-BE49-F238E27FC236}">
              <a16:creationId xmlns:a16="http://schemas.microsoft.com/office/drawing/2014/main" id="{F5694DAA-DC22-FE96-87AF-7AE69E2B0793}"/>
            </a:ext>
          </a:extLst>
        </xdr:cNvPr>
        <xdr:cNvSpPr txBox="1"/>
      </xdr:nvSpPr>
      <xdr:spPr>
        <a:xfrm>
          <a:off x="22860" y="182880"/>
          <a:ext cx="14622780" cy="5791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rial Black" panose="020B0A04020102020204" pitchFamily="34" charset="0"/>
            </a:rPr>
            <a:t>                   Indian IT Companies</a:t>
          </a:r>
          <a:r>
            <a:rPr lang="en-IN" sz="2400" baseline="0">
              <a:latin typeface="Arial Black" panose="020B0A04020102020204" pitchFamily="34" charset="0"/>
            </a:rPr>
            <a:t>- Financial Performance Dashboard</a:t>
          </a:r>
          <a:endParaRPr lang="en-IN" sz="2400">
            <a:latin typeface="Arial Black" panose="020B0A04020102020204" pitchFamily="34" charset="0"/>
          </a:endParaRPr>
        </a:p>
      </xdr:txBody>
    </xdr:sp>
    <xdr:clientData/>
  </xdr:twoCellAnchor>
  <xdr:twoCellAnchor>
    <xdr:from>
      <xdr:col>7</xdr:col>
      <xdr:colOff>411480</xdr:colOff>
      <xdr:row>4</xdr:row>
      <xdr:rowOff>7620</xdr:rowOff>
    </xdr:from>
    <xdr:to>
      <xdr:col>16</xdr:col>
      <xdr:colOff>464820</xdr:colOff>
      <xdr:row>38</xdr:row>
      <xdr:rowOff>30480</xdr:rowOff>
    </xdr:to>
    <xdr:graphicFrame macro="">
      <xdr:nvGraphicFramePr>
        <xdr:cNvPr id="9" name="Chart 8">
          <a:extLst>
            <a:ext uri="{FF2B5EF4-FFF2-40B4-BE49-F238E27FC236}">
              <a16:creationId xmlns:a16="http://schemas.microsoft.com/office/drawing/2014/main" id="{4D194AAB-F8DB-405A-B085-F1CAE0286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449580</xdr:colOff>
      <xdr:row>4</xdr:row>
      <xdr:rowOff>7620</xdr:rowOff>
    </xdr:from>
    <xdr:to>
      <xdr:col>24</xdr:col>
      <xdr:colOff>38100</xdr:colOff>
      <xdr:row>21</xdr:row>
      <xdr:rowOff>53340</xdr:rowOff>
    </xdr:to>
    <xdr:graphicFrame macro="">
      <xdr:nvGraphicFramePr>
        <xdr:cNvPr id="13" name="Chart 12">
          <a:extLst>
            <a:ext uri="{FF2B5EF4-FFF2-40B4-BE49-F238E27FC236}">
              <a16:creationId xmlns:a16="http://schemas.microsoft.com/office/drawing/2014/main" id="{0C11A6DA-3442-43D2-99F7-437B60BB9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472440</xdr:colOff>
      <xdr:row>21</xdr:row>
      <xdr:rowOff>53340</xdr:rowOff>
    </xdr:from>
    <xdr:to>
      <xdr:col>19</xdr:col>
      <xdr:colOff>472440</xdr:colOff>
      <xdr:row>38</xdr:row>
      <xdr:rowOff>30479</xdr:rowOff>
    </xdr:to>
    <mc:AlternateContent xmlns:mc="http://schemas.openxmlformats.org/markup-compatibility/2006" xmlns:a14="http://schemas.microsoft.com/office/drawing/2010/main">
      <mc:Choice Requires="a14">
        <xdr:graphicFrame macro="">
          <xdr:nvGraphicFramePr>
            <xdr:cNvPr id="2" name="Company Name 1">
              <a:extLst>
                <a:ext uri="{FF2B5EF4-FFF2-40B4-BE49-F238E27FC236}">
                  <a16:creationId xmlns:a16="http://schemas.microsoft.com/office/drawing/2014/main" id="{47E8E495-C4EA-7867-84C5-48BF5119E6E1}"/>
                </a:ext>
              </a:extLst>
            </xdr:cNvPr>
            <xdr:cNvGraphicFramePr/>
          </xdr:nvGraphicFramePr>
          <xdr:xfrm>
            <a:off x="0" y="0"/>
            <a:ext cx="0" cy="0"/>
          </xdr:xfrm>
          <a:graphic>
            <a:graphicData uri="http://schemas.microsoft.com/office/drawing/2010/slicer">
              <sle:slicer xmlns:sle="http://schemas.microsoft.com/office/drawing/2010/slicer" name="Company Name 1"/>
            </a:graphicData>
          </a:graphic>
        </xdr:graphicFrame>
      </mc:Choice>
      <mc:Fallback xmlns="">
        <xdr:sp macro="" textlink="">
          <xdr:nvSpPr>
            <xdr:cNvPr id="0" name=""/>
            <xdr:cNvSpPr>
              <a:spLocks noTextEdit="1"/>
            </xdr:cNvSpPr>
          </xdr:nvSpPr>
          <xdr:spPr>
            <a:xfrm>
              <a:off x="10226040" y="3893820"/>
              <a:ext cx="1828800" cy="3086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487680</xdr:colOff>
      <xdr:row>21</xdr:row>
      <xdr:rowOff>60960</xdr:rowOff>
    </xdr:from>
    <xdr:to>
      <xdr:col>23</xdr:col>
      <xdr:colOff>281940</xdr:colOff>
      <xdr:row>29</xdr:row>
      <xdr:rowOff>121919</xdr:rowOff>
    </xdr:to>
    <mc:AlternateContent xmlns:mc="http://schemas.openxmlformats.org/markup-compatibility/2006" xmlns:a14="http://schemas.microsoft.com/office/drawing/2010/main">
      <mc:Choice Requires="a14">
        <xdr:graphicFrame macro="">
          <xdr:nvGraphicFramePr>
            <xdr:cNvPr id="3" name="Quarter 1">
              <a:extLst>
                <a:ext uri="{FF2B5EF4-FFF2-40B4-BE49-F238E27FC236}">
                  <a16:creationId xmlns:a16="http://schemas.microsoft.com/office/drawing/2014/main" id="{6A2AAF5E-B8D0-95A8-066E-256773D83064}"/>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070080" y="3901440"/>
              <a:ext cx="223266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480060</xdr:colOff>
      <xdr:row>29</xdr:row>
      <xdr:rowOff>114301</xdr:rowOff>
    </xdr:from>
    <xdr:to>
      <xdr:col>23</xdr:col>
      <xdr:colOff>274320</xdr:colOff>
      <xdr:row>33</xdr:row>
      <xdr:rowOff>114301</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70EED83A-724A-9465-56F0-7D260216C05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062460" y="5417821"/>
              <a:ext cx="2232660" cy="731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472440</xdr:colOff>
      <xdr:row>33</xdr:row>
      <xdr:rowOff>99060</xdr:rowOff>
    </xdr:from>
    <xdr:to>
      <xdr:col>23</xdr:col>
      <xdr:colOff>266700</xdr:colOff>
      <xdr:row>38</xdr:row>
      <xdr:rowOff>22861</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6A5EA868-0587-D91C-381D-815AA54FEA3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054840" y="6134100"/>
              <a:ext cx="2232660" cy="8382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0.40581</cdr:x>
      <cdr:y>0.35037</cdr:y>
    </cdr:from>
    <cdr:to>
      <cdr:x>0.59419</cdr:x>
      <cdr:y>0.64963</cdr:y>
    </cdr:to>
    <cdr:sp macro="" textlink="">
      <cdr:nvSpPr>
        <cdr:cNvPr id="2" name="TextBox 1">
          <a:extLst xmlns:a="http://schemas.openxmlformats.org/drawingml/2006/main">
            <a:ext uri="{FF2B5EF4-FFF2-40B4-BE49-F238E27FC236}">
              <a16:creationId xmlns:a16="http://schemas.microsoft.com/office/drawing/2014/main" id="{4C17B44E-6D2B-E432-1DDA-B08265E1536E}"/>
            </a:ext>
          </a:extLst>
        </cdr:cNvPr>
        <cdr:cNvSpPr txBox="1"/>
      </cdr:nvSpPr>
      <cdr:spPr>
        <a:xfrm xmlns:a="http://schemas.openxmlformats.org/drawingml/2006/main">
          <a:off x="1969770" y="107061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0.40581</cdr:x>
      <cdr:y>0.35037</cdr:y>
    </cdr:from>
    <cdr:to>
      <cdr:x>0.59419</cdr:x>
      <cdr:y>0.64963</cdr:y>
    </cdr:to>
    <cdr:sp macro="" textlink="">
      <cdr:nvSpPr>
        <cdr:cNvPr id="3" name="TextBox 2">
          <a:extLst xmlns:a="http://schemas.openxmlformats.org/drawingml/2006/main">
            <a:ext uri="{FF2B5EF4-FFF2-40B4-BE49-F238E27FC236}">
              <a16:creationId xmlns:a16="http://schemas.microsoft.com/office/drawing/2014/main" id="{52583359-A264-D2E7-3E92-4888FB6E6B1B}"/>
            </a:ext>
          </a:extLst>
        </cdr:cNvPr>
        <cdr:cNvSpPr txBox="1"/>
      </cdr:nvSpPr>
      <cdr:spPr>
        <a:xfrm xmlns:a="http://schemas.openxmlformats.org/drawingml/2006/main">
          <a:off x="1969770" y="1070610"/>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83820</xdr:colOff>
      <xdr:row>1</xdr:row>
      <xdr:rowOff>152400</xdr:rowOff>
    </xdr:from>
    <xdr:to>
      <xdr:col>11</xdr:col>
      <xdr:colOff>213360</xdr:colOff>
      <xdr:row>27</xdr:row>
      <xdr:rowOff>0</xdr:rowOff>
    </xdr:to>
    <xdr:graphicFrame macro="">
      <xdr:nvGraphicFramePr>
        <xdr:cNvPr id="2" name="Chart 1">
          <a:extLst>
            <a:ext uri="{FF2B5EF4-FFF2-40B4-BE49-F238E27FC236}">
              <a16:creationId xmlns:a16="http://schemas.microsoft.com/office/drawing/2014/main" id="{4AF1E1AD-25F5-C701-F826-026CD8CEF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320040</xdr:colOff>
      <xdr:row>1</xdr:row>
      <xdr:rowOff>121920</xdr:rowOff>
    </xdr:from>
    <xdr:to>
      <xdr:col>14</xdr:col>
      <xdr:colOff>320040</xdr:colOff>
      <xdr:row>15</xdr:row>
      <xdr:rowOff>142875</xdr:rowOff>
    </xdr:to>
    <mc:AlternateContent xmlns:mc="http://schemas.openxmlformats.org/markup-compatibility/2006" xmlns:a14="http://schemas.microsoft.com/office/drawing/2010/main">
      <mc:Choice Requires="a14">
        <xdr:graphicFrame macro="">
          <xdr:nvGraphicFramePr>
            <xdr:cNvPr id="4" name="Company Name">
              <a:extLst>
                <a:ext uri="{FF2B5EF4-FFF2-40B4-BE49-F238E27FC236}">
                  <a16:creationId xmlns:a16="http://schemas.microsoft.com/office/drawing/2014/main" id="{B86A8BBF-8D6B-A9D7-6B6E-38300EB91F98}"/>
                </a:ext>
              </a:extLst>
            </xdr:cNvPr>
            <xdr:cNvGraphicFramePr/>
          </xdr:nvGraphicFramePr>
          <xdr:xfrm>
            <a:off x="0" y="0"/>
            <a:ext cx="0" cy="0"/>
          </xdr:xfrm>
          <a:graphic>
            <a:graphicData uri="http://schemas.microsoft.com/office/drawing/2010/slicer">
              <sle:slicer xmlns:sle="http://schemas.microsoft.com/office/drawing/2010/slicer" name="Company Name"/>
            </a:graphicData>
          </a:graphic>
        </xdr:graphicFrame>
      </mc:Choice>
      <mc:Fallback xmlns="">
        <xdr:sp macro="" textlink="">
          <xdr:nvSpPr>
            <xdr:cNvPr id="0" name=""/>
            <xdr:cNvSpPr>
              <a:spLocks noTextEdit="1"/>
            </xdr:cNvSpPr>
          </xdr:nvSpPr>
          <xdr:spPr>
            <a:xfrm>
              <a:off x="10050780" y="3048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1</xdr:row>
      <xdr:rowOff>68580</xdr:rowOff>
    </xdr:from>
    <xdr:to>
      <xdr:col>17</xdr:col>
      <xdr:colOff>403860</xdr:colOff>
      <xdr:row>15</xdr:row>
      <xdr:rowOff>89535</xdr:rowOff>
    </xdr:to>
    <mc:AlternateContent xmlns:mc="http://schemas.openxmlformats.org/markup-compatibility/2006" xmlns:a14="http://schemas.microsoft.com/office/drawing/2010/main">
      <mc:Choice Requires="a14">
        <xdr:graphicFrame macro="">
          <xdr:nvGraphicFramePr>
            <xdr:cNvPr id="5" name="Quarter">
              <a:extLst>
                <a:ext uri="{FF2B5EF4-FFF2-40B4-BE49-F238E27FC236}">
                  <a16:creationId xmlns:a16="http://schemas.microsoft.com/office/drawing/2014/main" id="{79CFA20D-41C4-7303-D588-082CC4B22059}"/>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1963400" y="2514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449580</xdr:colOff>
      <xdr:row>15</xdr:row>
      <xdr:rowOff>167640</xdr:rowOff>
    </xdr:from>
    <xdr:to>
      <xdr:col>17</xdr:col>
      <xdr:colOff>449580</xdr:colOff>
      <xdr:row>30</xdr:row>
      <xdr:rowOff>5715</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D2EA0952-5CCA-098C-B18F-1C890D0C663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009120" y="2910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342900</xdr:colOff>
      <xdr:row>15</xdr:row>
      <xdr:rowOff>167640</xdr:rowOff>
    </xdr:from>
    <xdr:to>
      <xdr:col>14</xdr:col>
      <xdr:colOff>342900</xdr:colOff>
      <xdr:row>30</xdr:row>
      <xdr:rowOff>5715</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0CE6BD30-DF19-4886-FB5B-76C3084EBCF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073640" y="29108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1661160</xdr:colOff>
      <xdr:row>1</xdr:row>
      <xdr:rowOff>30480</xdr:rowOff>
    </xdr:from>
    <xdr:to>
      <xdr:col>11</xdr:col>
      <xdr:colOff>441960</xdr:colOff>
      <xdr:row>19</xdr:row>
      <xdr:rowOff>68580</xdr:rowOff>
    </xdr:to>
    <xdr:graphicFrame macro="">
      <xdr:nvGraphicFramePr>
        <xdr:cNvPr id="2" name="Chart 1">
          <a:extLst>
            <a:ext uri="{FF2B5EF4-FFF2-40B4-BE49-F238E27FC236}">
              <a16:creationId xmlns:a16="http://schemas.microsoft.com/office/drawing/2014/main" id="{10DDCE30-CF9A-C979-51D5-F81590B3D2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350520</xdr:colOff>
      <xdr:row>2</xdr:row>
      <xdr:rowOff>60960</xdr:rowOff>
    </xdr:from>
    <xdr:to>
      <xdr:col>11</xdr:col>
      <xdr:colOff>53340</xdr:colOff>
      <xdr:row>24</xdr:row>
      <xdr:rowOff>0</xdr:rowOff>
    </xdr:to>
    <xdr:graphicFrame macro="">
      <xdr:nvGraphicFramePr>
        <xdr:cNvPr id="2" name="Chart 1">
          <a:extLst>
            <a:ext uri="{FF2B5EF4-FFF2-40B4-BE49-F238E27FC236}">
              <a16:creationId xmlns:a16="http://schemas.microsoft.com/office/drawing/2014/main" id="{CE9B1031-EB7F-63E3-D987-55AA2DDC9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1135380</xdr:colOff>
      <xdr:row>4</xdr:row>
      <xdr:rowOff>160020</xdr:rowOff>
    </xdr:from>
    <xdr:to>
      <xdr:col>9</xdr:col>
      <xdr:colOff>289560</xdr:colOff>
      <xdr:row>24</xdr:row>
      <xdr:rowOff>144780</xdr:rowOff>
    </xdr:to>
    <xdr:graphicFrame macro="">
      <xdr:nvGraphicFramePr>
        <xdr:cNvPr id="2" name="Chart 1">
          <a:extLst>
            <a:ext uri="{FF2B5EF4-FFF2-40B4-BE49-F238E27FC236}">
              <a16:creationId xmlns:a16="http://schemas.microsoft.com/office/drawing/2014/main" id="{DA7951D2-89E6-A99F-5CA9-B5A6D9B22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 refreshedDate="46158.561192824076" createdVersion="8" refreshedVersion="8" minRefreshableVersion="3" recordCount="20" xr:uid="{61554BB2-24FB-4568-8C0E-28859C53B61D}">
  <cacheSource type="worksheet">
    <worksheetSource name="Morningstar_Reports"/>
  </cacheSource>
  <cacheFields count="21">
    <cacheField name="Company Name" numFmtId="0">
      <sharedItems count="10">
        <s v="Tata Consultancy Services"/>
        <s v="Infosys"/>
        <s v="HCLTech"/>
        <s v="Wipro"/>
        <s v="Tech Mahindra"/>
        <s v="LTIMindtree"/>
        <s v="Mphasis"/>
        <s v="Persistent Systems"/>
        <s v="Coforge"/>
        <s v="Oracle Financial Services Software"/>
      </sharedItems>
    </cacheField>
    <cacheField name="Quarter" numFmtId="0">
      <sharedItems count="2">
        <s v="Q1 2026"/>
        <s v="Q2 2026"/>
      </sharedItems>
    </cacheField>
    <cacheField name="Year" numFmtId="0">
      <sharedItems containsSemiMixedTypes="0" containsString="0" containsNumber="1" containsInteger="1" minValue="2026" maxValue="2026" count="1">
        <n v="2026"/>
      </sharedItems>
    </cacheField>
    <cacheField name="Revenue (Cr INR)" numFmtId="0">
      <sharedItems containsSemiMixedTypes="0" containsString="0" containsNumber="1" containsInteger="1" minValue="2150" maxValue="64350"/>
    </cacheField>
    <cacheField name="Net Profit (Cr INR)" numFmtId="0">
      <sharedItems containsSemiMixedTypes="0" containsString="0" containsNumber="1" containsInteger="1" minValue="410" maxValue="12120"/>
    </cacheField>
    <cacheField name="Operating Profit (Cr INR)" numFmtId="0">
      <sharedItems containsSemiMixedTypes="0" containsString="0" containsNumber="1" containsInteger="1" minValue="650" maxValue="15420"/>
    </cacheField>
    <cacheField name="EPS" numFmtId="0">
      <sharedItems containsSemiMixedTypes="0" containsString="0" containsNumber="1" minValue="8.9" maxValue="34.5"/>
    </cacheField>
    <cacheField name="Total Assets (Cr INR)" numFmtId="0">
      <sharedItems containsSemiMixedTypes="0" containsString="0" containsNumber="1" containsInteger="1" minValue="7200" maxValue="525000"/>
    </cacheField>
    <cacheField name="Total Liabilities (Cr INR)" numFmtId="0">
      <sharedItems containsSemiMixedTypes="0" containsString="0" containsNumber="1" containsInteger="1" minValue="2100" maxValue="138700"/>
    </cacheField>
    <cacheField name="Cash Flow from Operations (Cr INR)" numFmtId="0">
      <sharedItems containsSemiMixedTypes="0" containsString="0" containsNumber="1" containsInteger="1" minValue="980" maxValue="42500"/>
    </cacheField>
    <cacheField name="Free Cash Flow (Cr INR)" numFmtId="0">
      <sharedItems containsSemiMixedTypes="0" containsString="0" containsNumber="1" containsInteger="1" minValue="860" maxValue="29800"/>
    </cacheField>
    <cacheField name="CapEx (Cr INR)" numFmtId="0">
      <sharedItems containsSemiMixedTypes="0" containsString="0" containsNumber="1" containsInteger="1" minValue="180" maxValue="4800"/>
    </cacheField>
    <cacheField name="Market Cap (Cr INR)" numFmtId="0">
      <sharedItems containsSemiMixedTypes="0" containsString="0" containsNumber="1" containsInteger="1" minValue="39000" maxValue="712000"/>
    </cacheField>
    <cacheField name="Sector" numFmtId="0">
      <sharedItems/>
    </cacheField>
    <cacheField name="Country" numFmtId="0">
      <sharedItems count="1">
        <s v="India"/>
      </sharedItems>
    </cacheField>
    <cacheField name="Profit Margin(%)" numFmtId="2">
      <sharedItems containsSemiMixedTypes="0" containsString="0" containsNumber="1" minValue="0.11475409836065574" maxValue="0.19776119402985073"/>
    </cacheField>
    <cacheField name="Operating Margin" numFmtId="2">
      <sharedItems containsSemiMixedTypes="0" containsString="0" containsNumber="1" minValue="0.2119205298013245" maxValue="0.30232558139534882"/>
    </cacheField>
    <cacheField name="Debt Ratio" numFmtId="2">
      <sharedItems containsSemiMixedTypes="0" containsString="0" containsNumber="1" minValue="0.2641904761904762" maxValue="0.61407766990291257"/>
    </cacheField>
    <cacheField name="Asset Turnover" numFmtId="2">
      <sharedItems containsSemiMixedTypes="0" containsString="0" containsNumber="1" minValue="0.12257142857142857" maxValue="0.40978593272171254"/>
    </cacheField>
    <cacheField name="Marketcap to revenue" numFmtId="2">
      <sharedItems containsSemiMixedTypes="0" containsString="0" containsNumber="1" minValue="9.5135975135975137" maxValue="28.837209302325583"/>
    </cacheField>
    <cacheField name="Net Assets" numFmtId="1">
      <sharedItems containsSemiMixedTypes="0" containsString="0" containsNumber="1" containsInteger="1" minValue="4700" maxValue="386300"/>
    </cacheField>
  </cacheFields>
  <extLst>
    <ext xmlns:x14="http://schemas.microsoft.com/office/spreadsheetml/2009/9/main" uri="{725AE2AE-9491-48be-B2B4-4EB974FC3084}">
      <x14:pivotCacheDefinition pivotCacheId="76546718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i" refreshedDate="46159.544201041666" backgroundQuery="1" createdVersion="8" refreshedVersion="8" minRefreshableVersion="3" recordCount="0" supportSubquery="1" supportAdvancedDrill="1" xr:uid="{912E02B8-32F4-44EF-828E-A3AA10CE8EBF}">
  <cacheSource type="external" connectionId="2"/>
  <cacheFields count="5">
    <cacheField name="[Morningstar_Reports].[Company Name].[Company Name]" caption="Company Name" numFmtId="0" level="1">
      <sharedItems count="10">
        <s v="Coforge"/>
        <s v="HCLTech"/>
        <s v="Infosys"/>
        <s v="LTIMindtree"/>
        <s v="Mphasis"/>
        <s v="Oracle Financial Services Software"/>
        <s v="Persistent Systems"/>
        <s v="Tata Consultancy Services"/>
        <s v="Tech Mahindra"/>
        <s v="Wipro"/>
      </sharedItems>
    </cacheField>
    <cacheField name="[Measures].[Average of Profit Margin(%)]" caption="Average of Profit Margin(%)" numFmtId="0" hierarchy="29" level="32767"/>
    <cacheField name="[Measures].[Average of Operating Margin]" caption="Average of Operating Margin" numFmtId="0" hierarchy="30" level="32767"/>
    <cacheField name="[Measures].[Average of CFO Mragins(%)]" caption="Average of CFO Mragins(%)" numFmtId="0" hierarchy="31" level="32767"/>
    <cacheField name="[Measures].[Average of FCF Margins(%)]" caption="Average of FCF Margins(%)" numFmtId="0" hierarchy="32" level="32767"/>
  </cacheFields>
  <cacheHierarchies count="33">
    <cacheHierarchy uniqueName="[Morningstar_Reports].[Company Name]" caption="Company Name" attribute="1" defaultMemberUniqueName="[Morningstar_Reports].[Company Name].[All]" allUniqueName="[Morningstar_Reports].[Company Name].[All]" dimensionUniqueName="[Morningstar_Reports]" displayFolder="" count="2" memberValueDatatype="130" unbalanced="0">
      <fieldsUsage count="2">
        <fieldUsage x="-1"/>
        <fieldUsage x="0"/>
      </fieldsUsage>
    </cacheHierarchy>
    <cacheHierarchy uniqueName="[Morningstar_Reports].[Quarter]" caption="Quarter" attribute="1" defaultMemberUniqueName="[Morningstar_Reports].[Quarter].[All]" allUniqueName="[Morningstar_Reports].[Quarter].[All]" dimensionUniqueName="[Morningstar_Reports]" displayFolder="" count="0" memberValueDatatype="130" unbalanced="0"/>
    <cacheHierarchy uniqueName="[Morningstar_Reports].[Year]" caption="Year" attribute="1" defaultMemberUniqueName="[Morningstar_Reports].[Year].[All]" allUniqueName="[Morningstar_Reports].[Year].[All]" dimensionUniqueName="[Morningstar_Reports]" displayFolder="" count="0" memberValueDatatype="20" unbalanced="0"/>
    <cacheHierarchy uniqueName="[Morningstar_Reports].[Revenue (Cr INR)]" caption="Revenue (Cr INR)" attribute="1" defaultMemberUniqueName="[Morningstar_Reports].[Revenue (Cr INR)].[All]" allUniqueName="[Morningstar_Reports].[Revenue (Cr INR)].[All]" dimensionUniqueName="[Morningstar_Reports]" displayFolder="" count="0" memberValueDatatype="20" unbalanced="0"/>
    <cacheHierarchy uniqueName="[Morningstar_Reports].[Net Profit (Cr INR)]" caption="Net Profit (Cr INR)" attribute="1" defaultMemberUniqueName="[Morningstar_Reports].[Net Profit (Cr INR)].[All]" allUniqueName="[Morningstar_Reports].[Net Profit (Cr INR)].[All]" dimensionUniqueName="[Morningstar_Reports]" displayFolder="" count="0" memberValueDatatype="20" unbalanced="0"/>
    <cacheHierarchy uniqueName="[Morningstar_Reports].[Operating Profit (Cr INR)]" caption="Operating Profit (Cr INR)" attribute="1" defaultMemberUniqueName="[Morningstar_Reports].[Operating Profit (Cr INR)].[All]" allUniqueName="[Morningstar_Reports].[Operating Profit (Cr INR)].[All]" dimensionUniqueName="[Morningstar_Reports]" displayFolder="" count="0" memberValueDatatype="20" unbalanced="0"/>
    <cacheHierarchy uniqueName="[Morningstar_Reports].[EPS]" caption="EPS" attribute="1" defaultMemberUniqueName="[Morningstar_Reports].[EPS].[All]" allUniqueName="[Morningstar_Reports].[EPS].[All]" dimensionUniqueName="[Morningstar_Reports]" displayFolder="" count="0" memberValueDatatype="5" unbalanced="0"/>
    <cacheHierarchy uniqueName="[Morningstar_Reports].[Total Assets (Cr INR)]" caption="Total Assets (Cr INR)" attribute="1" defaultMemberUniqueName="[Morningstar_Reports].[Total Assets (Cr INR)].[All]" allUniqueName="[Morningstar_Reports].[Total Assets (Cr INR)].[All]" dimensionUniqueName="[Morningstar_Reports]" displayFolder="" count="0" memberValueDatatype="20" unbalanced="0"/>
    <cacheHierarchy uniqueName="[Morningstar_Reports].[Total Liabilities (Cr INR)]" caption="Total Liabilities (Cr INR)" attribute="1" defaultMemberUniqueName="[Morningstar_Reports].[Total Liabilities (Cr INR)].[All]" allUniqueName="[Morningstar_Reports].[Total Liabilities (Cr INR)].[All]" dimensionUniqueName="[Morningstar_Reports]" displayFolder="" count="0" memberValueDatatype="20" unbalanced="0"/>
    <cacheHierarchy uniqueName="[Morningstar_Reports].[Cash Flow from Operations (Cr INR)]" caption="Cash Flow from Operations (Cr INR)" attribute="1" defaultMemberUniqueName="[Morningstar_Reports].[Cash Flow from Operations (Cr INR)].[All]" allUniqueName="[Morningstar_Reports].[Cash Flow from Operations (Cr INR)].[All]" dimensionUniqueName="[Morningstar_Reports]" displayFolder="" count="0" memberValueDatatype="20" unbalanced="0"/>
    <cacheHierarchy uniqueName="[Morningstar_Reports].[Free Cash Flow (Cr INR)]" caption="Free Cash Flow (Cr INR)" attribute="1" defaultMemberUniqueName="[Morningstar_Reports].[Free Cash Flow (Cr INR)].[All]" allUniqueName="[Morningstar_Reports].[Free Cash Flow (Cr INR)].[All]" dimensionUniqueName="[Morningstar_Reports]" displayFolder="" count="0" memberValueDatatype="20" unbalanced="0"/>
    <cacheHierarchy uniqueName="[Morningstar_Reports].[CapEx (Cr INR)]" caption="CapEx (Cr INR)" attribute="1" defaultMemberUniqueName="[Morningstar_Reports].[CapEx (Cr INR)].[All]" allUniqueName="[Morningstar_Reports].[CapEx (Cr INR)].[All]" dimensionUniqueName="[Morningstar_Reports]" displayFolder="" count="0" memberValueDatatype="20" unbalanced="0"/>
    <cacheHierarchy uniqueName="[Morningstar_Reports].[Market Cap (Cr INR)]" caption="Market Cap (Cr INR)" attribute="1" defaultMemberUniqueName="[Morningstar_Reports].[Market Cap (Cr INR)].[All]" allUniqueName="[Morningstar_Reports].[Market Cap (Cr INR)].[All]" dimensionUniqueName="[Morningstar_Reports]" displayFolder="" count="0" memberValueDatatype="20" unbalanced="0"/>
    <cacheHierarchy uniqueName="[Morningstar_Reports].[Sector]" caption="Sector" attribute="1" defaultMemberUniqueName="[Morningstar_Reports].[Sector].[All]" allUniqueName="[Morningstar_Reports].[Sector].[All]" dimensionUniqueName="[Morningstar_Reports]" displayFolder="" count="0" memberValueDatatype="130" unbalanced="0"/>
    <cacheHierarchy uniqueName="[Morningstar_Reports].[Country]" caption="Country" attribute="1" defaultMemberUniqueName="[Morningstar_Reports].[Country].[All]" allUniqueName="[Morningstar_Reports].[Country].[All]" dimensionUniqueName="[Morningstar_Reports]" displayFolder="" count="0" memberValueDatatype="130" unbalanced="0"/>
    <cacheHierarchy uniqueName="[Morningstar_Reports].[Profit Margin(%)]" caption="Profit Margin(%)" attribute="1" defaultMemberUniqueName="[Morningstar_Reports].[Profit Margin(%)].[All]" allUniqueName="[Morningstar_Reports].[Profit Margin(%)].[All]" dimensionUniqueName="[Morningstar_Reports]" displayFolder="" count="0" memberValueDatatype="5" unbalanced="0"/>
    <cacheHierarchy uniqueName="[Morningstar_Reports].[Operating Margin]" caption="Operating Margin" attribute="1" defaultMemberUniqueName="[Morningstar_Reports].[Operating Margin].[All]" allUniqueName="[Morningstar_Reports].[Operating Margin].[All]" dimensionUniqueName="[Morningstar_Reports]" displayFolder="" count="0" memberValueDatatype="5" unbalanced="0"/>
    <cacheHierarchy uniqueName="[Morningstar_Reports].[Debt Ratio]" caption="Debt Ratio" attribute="1" defaultMemberUniqueName="[Morningstar_Reports].[Debt Ratio].[All]" allUniqueName="[Morningstar_Reports].[Debt Ratio].[All]" dimensionUniqueName="[Morningstar_Reports]" displayFolder="" count="0" memberValueDatatype="5" unbalanced="0"/>
    <cacheHierarchy uniqueName="[Morningstar_Reports].[Asset Turnover]" caption="Asset Turnover" attribute="1" defaultMemberUniqueName="[Morningstar_Reports].[Asset Turnover].[All]" allUniqueName="[Morningstar_Reports].[Asset Turnover].[All]" dimensionUniqueName="[Morningstar_Reports]" displayFolder="" count="0" memberValueDatatype="5" unbalanced="0"/>
    <cacheHierarchy uniqueName="[Morningstar_Reports].[Marketcap to revenue]" caption="Marketcap to revenue" attribute="1" defaultMemberUniqueName="[Morningstar_Reports].[Marketcap to revenue].[All]" allUniqueName="[Morningstar_Reports].[Marketcap to revenue].[All]" dimensionUniqueName="[Morningstar_Reports]" displayFolder="" count="0" memberValueDatatype="5" unbalanced="0"/>
    <cacheHierarchy uniqueName="[Morningstar_Reports].[Net Assets]" caption="Net Assets" attribute="1" defaultMemberUniqueName="[Morningstar_Reports].[Net Assets].[All]" allUniqueName="[Morningstar_Reports].[Net Assets].[All]" dimensionUniqueName="[Morningstar_Reports]" displayFolder="" count="0" memberValueDatatype="20" unbalanced="0"/>
    <cacheHierarchy uniqueName="[Morningstar_Reports].[CFO Mragins(%)]" caption="CFO Mragins(%)" attribute="1" defaultMemberUniqueName="[Morningstar_Reports].[CFO Mragins(%)].[All]" allUniqueName="[Morningstar_Reports].[CFO Mragins(%)].[All]" dimensionUniqueName="[Morningstar_Reports]" displayFolder="" count="0" memberValueDatatype="5" unbalanced="0"/>
    <cacheHierarchy uniqueName="[Morningstar_Reports].[FCF Margins(%)]" caption="FCF Margins(%)" attribute="1" defaultMemberUniqueName="[Morningstar_Reports].[FCF Margins(%)].[All]" allUniqueName="[Morningstar_Reports].[FCF Margins(%)].[All]" dimensionUniqueName="[Morningstar_Reports]" displayFolder="" count="0" memberValueDatatype="5" unbalanced="0"/>
    <cacheHierarchy uniqueName="[Measures].[__XL_Count Morningstar_Reports]" caption="__XL_Count Morningstar_Reports" measure="1" displayFolder="" measureGroup="Morningstar_Reports" count="0" hidden="1"/>
    <cacheHierarchy uniqueName="[Measures].[__No measures defined]" caption="__No measures defined" measure="1" displayFolder="" count="0" hidden="1"/>
    <cacheHierarchy uniqueName="[Measures].[Sum of Profit Margin(%)]" caption="Sum of Profit Margin(%)" measure="1" displayFolder="" measureGroup="Morningstar_Reports" count="0" hidden="1">
      <extLst>
        <ext xmlns:x15="http://schemas.microsoft.com/office/spreadsheetml/2010/11/main" uri="{B97F6D7D-B522-45F9-BDA1-12C45D357490}">
          <x15:cacheHierarchy aggregatedColumn="15"/>
        </ext>
      </extLst>
    </cacheHierarchy>
    <cacheHierarchy uniqueName="[Measures].[Sum of Operating Margin]" caption="Sum of Operating Margin" measure="1" displayFolder="" measureGroup="Morningstar_Reports" count="0" hidden="1">
      <extLst>
        <ext xmlns:x15="http://schemas.microsoft.com/office/spreadsheetml/2010/11/main" uri="{B97F6D7D-B522-45F9-BDA1-12C45D357490}">
          <x15:cacheHierarchy aggregatedColumn="16"/>
        </ext>
      </extLst>
    </cacheHierarchy>
    <cacheHierarchy uniqueName="[Measures].[Sum of CFO Mragins(%)]" caption="Sum of CFO Mragins(%)" measure="1" displayFolder="" measureGroup="Morningstar_Reports" count="0" hidden="1">
      <extLst>
        <ext xmlns:x15="http://schemas.microsoft.com/office/spreadsheetml/2010/11/main" uri="{B97F6D7D-B522-45F9-BDA1-12C45D357490}">
          <x15:cacheHierarchy aggregatedColumn="21"/>
        </ext>
      </extLst>
    </cacheHierarchy>
    <cacheHierarchy uniqueName="[Measures].[Sum of FCF Margins(%)]" caption="Sum of FCF Margins(%)" measure="1" displayFolder="" measureGroup="Morningstar_Reports" count="0" hidden="1">
      <extLst>
        <ext xmlns:x15="http://schemas.microsoft.com/office/spreadsheetml/2010/11/main" uri="{B97F6D7D-B522-45F9-BDA1-12C45D357490}">
          <x15:cacheHierarchy aggregatedColumn="22"/>
        </ext>
      </extLst>
    </cacheHierarchy>
    <cacheHierarchy uniqueName="[Measures].[Average of Profit Margin(%)]" caption="Average of Profit Margin(%)" measure="1" displayFolder="" measureGroup="Morningstar_Reports" count="0" oneField="1" hidden="1">
      <fieldsUsage count="1">
        <fieldUsage x="1"/>
      </fieldsUsage>
      <extLst>
        <ext xmlns:x15="http://schemas.microsoft.com/office/spreadsheetml/2010/11/main" uri="{B97F6D7D-B522-45F9-BDA1-12C45D357490}">
          <x15:cacheHierarchy aggregatedColumn="15"/>
        </ext>
      </extLst>
    </cacheHierarchy>
    <cacheHierarchy uniqueName="[Measures].[Average of Operating Margin]" caption="Average of Operating Margin" measure="1" displayFolder="" measureGroup="Morningstar_Reports" count="0" oneField="1" hidden="1">
      <fieldsUsage count="1">
        <fieldUsage x="2"/>
      </fieldsUsage>
      <extLst>
        <ext xmlns:x15="http://schemas.microsoft.com/office/spreadsheetml/2010/11/main" uri="{B97F6D7D-B522-45F9-BDA1-12C45D357490}">
          <x15:cacheHierarchy aggregatedColumn="16"/>
        </ext>
      </extLst>
    </cacheHierarchy>
    <cacheHierarchy uniqueName="[Measures].[Average of CFO Mragins(%)]" caption="Average of CFO Mragins(%)" measure="1" displayFolder="" measureGroup="Morningstar_Reports" count="0" oneField="1" hidden="1">
      <fieldsUsage count="1">
        <fieldUsage x="3"/>
      </fieldsUsage>
      <extLst>
        <ext xmlns:x15="http://schemas.microsoft.com/office/spreadsheetml/2010/11/main" uri="{B97F6D7D-B522-45F9-BDA1-12C45D357490}">
          <x15:cacheHierarchy aggregatedColumn="21"/>
        </ext>
      </extLst>
    </cacheHierarchy>
    <cacheHierarchy uniqueName="[Measures].[Average of FCF Margins(%)]" caption="Average of FCF Margins(%)" measure="1" displayFolder="" measureGroup="Morningstar_Reports" count="0" oneField="1" hidden="1">
      <fieldsUsage count="1">
        <fieldUsage x="4"/>
      </fieldsUsage>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Morningstar_Reports" uniqueName="[Morningstar_Reports]" caption="Morningstar_Reports"/>
  </dimensions>
  <measureGroups count="1">
    <measureGroup name="Morningstar_Reports" caption="Morningstar_Report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64250"/>
    <n v="12120"/>
    <n v="15400"/>
    <n v="34.5"/>
    <n v="520000"/>
    <n v="138000"/>
    <n v="42000"/>
    <n v="29500"/>
    <n v="4800"/>
    <n v="612000"/>
    <s v="IT Services"/>
    <x v="0"/>
    <n v="0.18863813229571985"/>
    <n v="0.2396887159533074"/>
    <n v="0.26538461538461539"/>
    <n v="0.12355769230769231"/>
    <n v="9.5252918287937742"/>
    <n v="382000"/>
  </r>
  <r>
    <x v="1"/>
    <x v="0"/>
    <x v="0"/>
    <n v="40100"/>
    <n v="7900"/>
    <n v="9800"/>
    <n v="31.2"/>
    <n v="98000"/>
    <n v="51000"/>
    <n v="22000"/>
    <n v="18800"/>
    <n v="2900"/>
    <n v="710000"/>
    <s v="IT Services"/>
    <x v="0"/>
    <n v="0.1970074812967581"/>
    <n v="0.24438902743142144"/>
    <n v="0.52040816326530615"/>
    <n v="0.40918367346938778"/>
    <n v="17.705735660847882"/>
    <n v="47000"/>
  </r>
  <r>
    <x v="2"/>
    <x v="0"/>
    <x v="0"/>
    <n v="30250"/>
    <n v="5100"/>
    <n v="7100"/>
    <n v="18.899999999999999"/>
    <n v="76000"/>
    <n v="43000"/>
    <n v="14500"/>
    <n v="12300"/>
    <n v="2100"/>
    <n v="435000"/>
    <s v="IT Services"/>
    <x v="0"/>
    <n v="0.16859504132231404"/>
    <n v="0.23471074380165288"/>
    <n v="0.56578947368421051"/>
    <n v="0.39802631578947367"/>
    <n v="14.380165289256198"/>
    <n v="33000"/>
  </r>
  <r>
    <x v="3"/>
    <x v="0"/>
    <x v="0"/>
    <n v="22500"/>
    <n v="3200"/>
    <n v="5100"/>
    <n v="12.4"/>
    <n v="62000"/>
    <n v="38000"/>
    <n v="11800"/>
    <n v="9700"/>
    <n v="1800"/>
    <n v="320000"/>
    <s v="IT Services"/>
    <x v="0"/>
    <n v="0.14222222222222222"/>
    <n v="0.22666666666666666"/>
    <n v="0.61290322580645162"/>
    <n v="0.36290322580645162"/>
    <n v="14.222222222222221"/>
    <n v="24000"/>
  </r>
  <r>
    <x v="4"/>
    <x v="0"/>
    <x v="0"/>
    <n v="15100"/>
    <n v="1800"/>
    <n v="3200"/>
    <n v="9.6"/>
    <n v="41000"/>
    <n v="25000"/>
    <n v="7200"/>
    <n v="6100"/>
    <n v="1200"/>
    <n v="148000"/>
    <s v="IT Services"/>
    <x v="0"/>
    <n v="0.11920529801324503"/>
    <n v="0.2119205298013245"/>
    <n v="0.6097560975609756"/>
    <n v="0.36829268292682926"/>
    <n v="9.8013245033112586"/>
    <n v="16000"/>
  </r>
  <r>
    <x v="5"/>
    <x v="0"/>
    <x v="0"/>
    <n v="11250"/>
    <n v="1650"/>
    <n v="2600"/>
    <n v="18.100000000000001"/>
    <n v="28500"/>
    <n v="14000"/>
    <n v="5100"/>
    <n v="4300"/>
    <n v="900"/>
    <n v="175000"/>
    <s v="IT Services"/>
    <x v="0"/>
    <n v="0.14666666666666667"/>
    <n v="0.2311111111111111"/>
    <n v="0.49122807017543857"/>
    <n v="0.39473684210526316"/>
    <n v="15.555555555555555"/>
    <n v="14500"/>
  </r>
  <r>
    <x v="6"/>
    <x v="0"/>
    <x v="0"/>
    <n v="4200"/>
    <n v="720"/>
    <n v="1100"/>
    <n v="13.7"/>
    <n v="12000"/>
    <n v="6400"/>
    <n v="1900"/>
    <n v="1600"/>
    <n v="350"/>
    <n v="52000"/>
    <s v="IT Services"/>
    <x v="0"/>
    <n v="0.17142857142857143"/>
    <n v="0.26190476190476192"/>
    <n v="0.53333333333333333"/>
    <n v="0.35"/>
    <n v="12.380952380952381"/>
    <n v="5600"/>
  </r>
  <r>
    <x v="7"/>
    <x v="0"/>
    <x v="0"/>
    <n v="3350"/>
    <n v="540"/>
    <n v="860"/>
    <n v="11.4"/>
    <n v="9800"/>
    <n v="4700"/>
    <n v="1550"/>
    <n v="1310"/>
    <n v="290"/>
    <n v="48000"/>
    <s v="IT Services"/>
    <x v="0"/>
    <n v="0.16119402985074627"/>
    <n v="0.25671641791044775"/>
    <n v="0.47959183673469385"/>
    <n v="0.34183673469387754"/>
    <n v="14.328358208955224"/>
    <n v="5100"/>
  </r>
  <r>
    <x v="8"/>
    <x v="0"/>
    <x v="0"/>
    <n v="2950"/>
    <n v="460"/>
    <n v="780"/>
    <n v="9.1999999999999993"/>
    <n v="8600"/>
    <n v="3900"/>
    <n v="1340"/>
    <n v="1100"/>
    <n v="260"/>
    <n v="39000"/>
    <s v="IT Services"/>
    <x v="0"/>
    <n v="0.15593220338983052"/>
    <n v="0.26440677966101694"/>
    <n v="0.45348837209302323"/>
    <n v="0.34302325581395349"/>
    <n v="13.220338983050848"/>
    <n v="4700"/>
  </r>
  <r>
    <x v="9"/>
    <x v="0"/>
    <x v="0"/>
    <n v="2150"/>
    <n v="410"/>
    <n v="650"/>
    <n v="23.6"/>
    <n v="7200"/>
    <n v="2100"/>
    <n v="980"/>
    <n v="860"/>
    <n v="180"/>
    <n v="62000"/>
    <s v="IT Services"/>
    <x v="0"/>
    <n v="0.19069767441860466"/>
    <n v="0.30232558139534882"/>
    <n v="0.29166666666666669"/>
    <n v="0.2986111111111111"/>
    <n v="28.837209302325583"/>
    <n v="5100"/>
  </r>
  <r>
    <x v="0"/>
    <x v="1"/>
    <x v="0"/>
    <n v="64350"/>
    <n v="12112"/>
    <n v="15420"/>
    <n v="33.5"/>
    <n v="525000"/>
    <n v="138700"/>
    <n v="42500"/>
    <n v="29800"/>
    <n v="4750"/>
    <n v="612200"/>
    <s v="IT Services"/>
    <x v="0"/>
    <n v="0.18822066822066821"/>
    <n v="0.23962703962703963"/>
    <n v="0.2641904761904762"/>
    <n v="0.12257142857142857"/>
    <n v="9.5135975135975137"/>
    <n v="386300"/>
  </r>
  <r>
    <x v="1"/>
    <x v="1"/>
    <x v="0"/>
    <n v="40200"/>
    <n v="7950"/>
    <n v="9830"/>
    <n v="30.8"/>
    <n v="98100"/>
    <n v="51200"/>
    <n v="22500"/>
    <n v="18900"/>
    <n v="2950"/>
    <n v="712000"/>
    <s v="IT Services"/>
    <x v="0"/>
    <n v="0.19776119402985073"/>
    <n v="0.24452736318407961"/>
    <n v="0.52191641182466875"/>
    <n v="0.40978593272171254"/>
    <n v="17.71144278606965"/>
    <n v="46900"/>
  </r>
  <r>
    <x v="2"/>
    <x v="1"/>
    <x v="0"/>
    <n v="30150"/>
    <n v="5020"/>
    <n v="7000"/>
    <n v="19.100000000000001"/>
    <n v="75100"/>
    <n v="42500"/>
    <n v="14000"/>
    <n v="12500"/>
    <n v="2200"/>
    <n v="437000"/>
    <s v="IT Services"/>
    <x v="0"/>
    <n v="0.16650082918739637"/>
    <n v="0.23217247097844113"/>
    <n v="0.56591211717709722"/>
    <n v="0.40146471371504661"/>
    <n v="14.494195688225538"/>
    <n v="32600"/>
  </r>
  <r>
    <x v="3"/>
    <x v="1"/>
    <x v="0"/>
    <n v="22400"/>
    <n v="3225"/>
    <n v="5200"/>
    <n v="12.2"/>
    <n v="62100"/>
    <n v="37500"/>
    <n v="11900"/>
    <n v="9900"/>
    <n v="1850"/>
    <n v="321000"/>
    <s v="IT Services"/>
    <x v="0"/>
    <n v="0.14397321428571427"/>
    <n v="0.23214285714285715"/>
    <n v="0.60386473429951693"/>
    <n v="0.36070853462157809"/>
    <n v="14.330357142857142"/>
    <n v="24600"/>
  </r>
  <r>
    <x v="4"/>
    <x v="1"/>
    <x v="0"/>
    <n v="15250"/>
    <n v="1750"/>
    <n v="3300"/>
    <n v="10.199999999999999"/>
    <n v="41200"/>
    <n v="25300"/>
    <n v="7300"/>
    <n v="6500"/>
    <n v="1220"/>
    <n v="148200"/>
    <s v="IT Services"/>
    <x v="0"/>
    <n v="0.11475409836065574"/>
    <n v="0.21639344262295082"/>
    <n v="0.61407766990291257"/>
    <n v="0.37014563106796117"/>
    <n v="9.7180327868852459"/>
    <n v="15900"/>
  </r>
  <r>
    <x v="5"/>
    <x v="1"/>
    <x v="0"/>
    <n v="11150"/>
    <n v="1700"/>
    <n v="2650"/>
    <n v="17.8"/>
    <n v="28520"/>
    <n v="14200"/>
    <n v="5200"/>
    <n v="4500"/>
    <n v="950"/>
    <n v="175250"/>
    <s v="IT Services"/>
    <x v="0"/>
    <n v="0.15246636771300448"/>
    <n v="0.23766816143497757"/>
    <n v="0.49789621318373073"/>
    <n v="0.39095371669004209"/>
    <n v="15.717488789237668"/>
    <n v="14320"/>
  </r>
  <r>
    <x v="6"/>
    <x v="1"/>
    <x v="0"/>
    <n v="4250"/>
    <n v="700"/>
    <n v="1106"/>
    <n v="12.9"/>
    <n v="12300"/>
    <n v="6500"/>
    <n v="1850"/>
    <n v="1800"/>
    <n v="375"/>
    <n v="52550"/>
    <s v="IT Services"/>
    <x v="0"/>
    <n v="0.16470588235294117"/>
    <n v="0.26023529411764706"/>
    <n v="0.52845528455284552"/>
    <n v="0.34552845528455284"/>
    <n v="12.364705882352942"/>
    <n v="5800"/>
  </r>
  <r>
    <x v="7"/>
    <x v="1"/>
    <x v="0"/>
    <n v="3450"/>
    <n v="545"/>
    <n v="867"/>
    <n v="11.9"/>
    <n v="9765"/>
    <n v="4650"/>
    <n v="1450"/>
    <n v="1380"/>
    <n v="325"/>
    <n v="48200"/>
    <s v="IT Services"/>
    <x v="0"/>
    <n v="0.15797101449275364"/>
    <n v="0.25130434782608696"/>
    <n v="0.47619047619047616"/>
    <n v="0.35330261136712748"/>
    <n v="13.971014492753623"/>
    <n v="5115"/>
  </r>
  <r>
    <x v="8"/>
    <x v="1"/>
    <x v="0"/>
    <n v="2900"/>
    <n v="480"/>
    <n v="785"/>
    <n v="8.9"/>
    <n v="8650"/>
    <n v="3950"/>
    <n v="1350"/>
    <n v="1200"/>
    <n v="290"/>
    <n v="39300"/>
    <s v="IT Services"/>
    <x v="0"/>
    <n v="0.16551724137931034"/>
    <n v="0.27068965517241378"/>
    <n v="0.45664739884393063"/>
    <n v="0.33526011560693642"/>
    <n v="13.551724137931034"/>
    <n v="4700"/>
  </r>
  <r>
    <x v="9"/>
    <x v="1"/>
    <x v="0"/>
    <n v="2175"/>
    <n v="415"/>
    <n v="655"/>
    <n v="22.9"/>
    <n v="7250"/>
    <n v="2150"/>
    <n v="985"/>
    <n v="890"/>
    <n v="210"/>
    <n v="62300"/>
    <s v="IT Services"/>
    <x v="0"/>
    <n v="0.19080459770114944"/>
    <n v="0.30114942528735633"/>
    <n v="0.29655172413793102"/>
    <n v="0.3"/>
    <n v="28.643678160919539"/>
    <n v="51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826A0F-FA9F-4F0D-93D9-C2BDD0BDDD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4" firstHeaderRow="0" firstDataRow="1" firstDataCol="1"/>
  <pivotFields count="21">
    <pivotField axis="axisRow" showAll="0">
      <items count="11">
        <item x="8"/>
        <item x="2"/>
        <item x="1"/>
        <item x="5"/>
        <item x="6"/>
        <item x="9"/>
        <item x="7"/>
        <item x="0"/>
        <item x="4"/>
        <item x="3"/>
        <item t="default"/>
      </items>
    </pivotField>
    <pivotField showAll="0">
      <items count="3">
        <item x="0"/>
        <item x="1"/>
        <item t="default"/>
      </items>
    </pivotField>
    <pivotField showAll="0">
      <items count="2">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items count="2">
        <item x="0"/>
        <item t="default"/>
      </items>
    </pivotField>
    <pivotField dataField="1" numFmtId="2" showAll="0"/>
    <pivotField numFmtId="2" showAll="0"/>
    <pivotField numFmtId="2" showAll="0"/>
    <pivotField numFmtId="2" showAll="0"/>
    <pivotField numFmtId="2" showAll="0"/>
    <pivotField numFmtId="1"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Revenue (Cr INR)" fld="3" baseField="0" baseItem="0"/>
    <dataField name="Sum of Profit Margin(%)" fld="15" baseField="0"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6D2F3E-F269-4CC0-B0D0-7CC7708EA2C3}"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A3:D13" firstHeaderRow="0" firstDataRow="1" firstDataCol="1"/>
  <pivotFields count="21">
    <pivotField axis="axisRow" showAll="0">
      <items count="11">
        <item x="8"/>
        <item x="2"/>
        <item x="1"/>
        <item x="5"/>
        <item x="6"/>
        <item x="9"/>
        <item x="7"/>
        <item x="0"/>
        <item x="4"/>
        <item x="3"/>
        <item t="default"/>
      </items>
    </pivotField>
    <pivotField showAll="0">
      <items count="3">
        <item x="0"/>
        <item x="1"/>
        <item t="default"/>
      </items>
    </pivotField>
    <pivotField showAll="0">
      <items count="2">
        <item x="0"/>
        <item t="default"/>
      </items>
    </pivotField>
    <pivotField showAll="0"/>
    <pivotField showAll="0"/>
    <pivotField showAll="0"/>
    <pivotField showAll="0"/>
    <pivotField showAll="0"/>
    <pivotField showAll="0"/>
    <pivotField dataField="1" showAll="0"/>
    <pivotField dataField="1" showAll="0"/>
    <pivotField dataField="1" showAll="0"/>
    <pivotField showAll="0"/>
    <pivotField showAll="0"/>
    <pivotField showAll="0">
      <items count="2">
        <item x="0"/>
        <item t="default"/>
      </items>
    </pivotField>
    <pivotField numFmtId="2" showAll="0"/>
    <pivotField numFmtId="2" showAll="0"/>
    <pivotField numFmtId="2" showAll="0"/>
    <pivotField numFmtId="2" showAll="0"/>
    <pivotField numFmtId="2" showAll="0"/>
    <pivotField numFmtId="1" showAll="0"/>
  </pivotFields>
  <rowFields count="1">
    <field x="0"/>
  </rowFields>
  <rowItems count="10">
    <i>
      <x/>
    </i>
    <i>
      <x v="1"/>
    </i>
    <i>
      <x v="2"/>
    </i>
    <i>
      <x v="3"/>
    </i>
    <i>
      <x v="4"/>
    </i>
    <i>
      <x v="5"/>
    </i>
    <i>
      <x v="6"/>
    </i>
    <i>
      <x v="7"/>
    </i>
    <i>
      <x v="8"/>
    </i>
    <i>
      <x v="9"/>
    </i>
  </rowItems>
  <colFields count="1">
    <field x="-2"/>
  </colFields>
  <colItems count="3">
    <i>
      <x/>
    </i>
    <i i="1">
      <x v="1"/>
    </i>
    <i i="2">
      <x v="2"/>
    </i>
  </colItems>
  <dataFields count="3">
    <dataField name="Cash Flow from Operations (Cr)" fld="9" baseField="0" baseItem="0"/>
    <dataField name="CapEx (Cr)" fld="11" baseField="0" baseItem="0"/>
    <dataField name="Free Cash Flow (Cr)" fld="10"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 chart="2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0775D2-1923-4450-91D1-A84DCF711A4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fieldListSortAscending="1">
  <location ref="A3:B13" firstHeaderRow="1" firstDataRow="1" firstDataCol="1"/>
  <pivotFields count="21">
    <pivotField axis="axisRow" showAll="0">
      <items count="11">
        <item x="8"/>
        <item x="2"/>
        <item x="1"/>
        <item x="5"/>
        <item x="6"/>
        <item x="9"/>
        <item x="7"/>
        <item x="0"/>
        <item x="4"/>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2" showAll="0"/>
    <pivotField numFmtId="2" showAll="0"/>
    <pivotField numFmtId="2" showAll="0"/>
    <pivotField numFmtId="2" showAll="0"/>
    <pivotField numFmtId="2" showAll="0"/>
    <pivotField numFmtId="1" showAll="0"/>
  </pivotFields>
  <rowFields count="1">
    <field x="0"/>
  </rowFields>
  <rowItems count="10">
    <i>
      <x/>
    </i>
    <i>
      <x v="1"/>
    </i>
    <i>
      <x v="2"/>
    </i>
    <i>
      <x v="3"/>
    </i>
    <i>
      <x v="4"/>
    </i>
    <i>
      <x v="5"/>
    </i>
    <i>
      <x v="6"/>
    </i>
    <i>
      <x v="7"/>
    </i>
    <i>
      <x v="8"/>
    </i>
    <i>
      <x v="9"/>
    </i>
  </rowItems>
  <colItems count="1">
    <i/>
  </colItems>
  <dataFields count="1">
    <dataField name="Sum of Net Profit (Cr INR)" fld="4" baseField="0" baseItem="0"/>
  </dataFields>
  <chartFormats count="3">
    <chartFormat chart="4"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C08F76-1163-4512-91DA-B3B8F03D01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pivotFields count="21">
    <pivotField axis="axisRow" showAll="0">
      <items count="11">
        <item x="8"/>
        <item x="2"/>
        <item x="1"/>
        <item x="5"/>
        <item x="6"/>
        <item x="9"/>
        <item x="7"/>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numFmtId="2" showAll="0"/>
    <pivotField numFmtId="2" showAll="0"/>
    <pivotField numFmtId="2" showAll="0"/>
    <pivotField numFmtId="2" showAll="0"/>
    <pivotField numFmtId="2" showAll="0"/>
    <pivotField numFmtId="1" showAll="0"/>
  </pivotFields>
  <rowFields count="1">
    <field x="0"/>
  </rowFields>
  <rowItems count="11">
    <i>
      <x/>
    </i>
    <i>
      <x v="1"/>
    </i>
    <i>
      <x v="2"/>
    </i>
    <i>
      <x v="3"/>
    </i>
    <i>
      <x v="4"/>
    </i>
    <i>
      <x v="5"/>
    </i>
    <i>
      <x v="6"/>
    </i>
    <i>
      <x v="7"/>
    </i>
    <i>
      <x v="8"/>
    </i>
    <i>
      <x v="9"/>
    </i>
    <i t="grand">
      <x/>
    </i>
  </rowItems>
  <colItems count="1">
    <i/>
  </colItems>
  <dataFields count="1">
    <dataField name="Sum of Market Cap (Cr INR)" fld="12" baseField="0" baseItem="0"/>
  </dataFields>
  <chartFormats count="22">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1"/>
          </reference>
        </references>
      </pivotArea>
    </chartFormat>
    <chartFormat chart="5" format="2">
      <pivotArea type="data" outline="0" fieldPosition="0">
        <references count="2">
          <reference field="4294967294" count="1" selected="0">
            <x v="0"/>
          </reference>
          <reference field="0" count="1" selected="0">
            <x v="0"/>
          </reference>
        </references>
      </pivotArea>
    </chartFormat>
    <chartFormat chart="5" format="3">
      <pivotArea type="data" outline="0" fieldPosition="0">
        <references count="2">
          <reference field="4294967294" count="1" selected="0">
            <x v="0"/>
          </reference>
          <reference field="0" count="1" selected="0">
            <x v="9"/>
          </reference>
        </references>
      </pivotArea>
    </chartFormat>
    <chartFormat chart="5" format="4">
      <pivotArea type="data" outline="0" fieldPosition="0">
        <references count="2">
          <reference field="4294967294" count="1" selected="0">
            <x v="0"/>
          </reference>
          <reference field="0" count="1" selected="0">
            <x v="8"/>
          </reference>
        </references>
      </pivotArea>
    </chartFormat>
    <chartFormat chart="5" format="5">
      <pivotArea type="data" outline="0" fieldPosition="0">
        <references count="2">
          <reference field="4294967294" count="1" selected="0">
            <x v="0"/>
          </reference>
          <reference field="0" count="1" selected="0">
            <x v="7"/>
          </reference>
        </references>
      </pivotArea>
    </chartFormat>
    <chartFormat chart="5" format="6">
      <pivotArea type="data" outline="0" fieldPosition="0">
        <references count="2">
          <reference field="4294967294" count="1" selected="0">
            <x v="0"/>
          </reference>
          <reference field="0" count="1" selected="0">
            <x v="2"/>
          </reference>
        </references>
      </pivotArea>
    </chartFormat>
    <chartFormat chart="5" format="7">
      <pivotArea type="data" outline="0" fieldPosition="0">
        <references count="2">
          <reference field="4294967294" count="1" selected="0">
            <x v="0"/>
          </reference>
          <reference field="0" count="1" selected="0">
            <x v="3"/>
          </reference>
        </references>
      </pivotArea>
    </chartFormat>
    <chartFormat chart="5" format="8">
      <pivotArea type="data" outline="0" fieldPosition="0">
        <references count="2">
          <reference field="4294967294" count="1" selected="0">
            <x v="0"/>
          </reference>
          <reference field="0" count="1" selected="0">
            <x v="6"/>
          </reference>
        </references>
      </pivotArea>
    </chartFormat>
    <chartFormat chart="5" format="9">
      <pivotArea type="data" outline="0" fieldPosition="0">
        <references count="2">
          <reference field="4294967294" count="1" selected="0">
            <x v="0"/>
          </reference>
          <reference field="0" count="1" selected="0">
            <x v="5"/>
          </reference>
        </references>
      </pivotArea>
    </chartFormat>
    <chartFormat chart="5" format="10">
      <pivotArea type="data" outline="0" fieldPosition="0">
        <references count="2">
          <reference field="4294967294" count="1" selected="0">
            <x v="0"/>
          </reference>
          <reference field="0" count="1" selected="0">
            <x v="4"/>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2">
          <reference field="4294967294" count="1" selected="0">
            <x v="0"/>
          </reference>
          <reference field="0" count="1" selected="0">
            <x v="0"/>
          </reference>
        </references>
      </pivotArea>
    </chartFormat>
    <chartFormat chart="11" format="24">
      <pivotArea type="data" outline="0" fieldPosition="0">
        <references count="2">
          <reference field="4294967294" count="1" selected="0">
            <x v="0"/>
          </reference>
          <reference field="0" count="1" selected="0">
            <x v="1"/>
          </reference>
        </references>
      </pivotArea>
    </chartFormat>
    <chartFormat chart="11" format="25">
      <pivotArea type="data" outline="0" fieldPosition="0">
        <references count="2">
          <reference field="4294967294" count="1" selected="0">
            <x v="0"/>
          </reference>
          <reference field="0" count="1" selected="0">
            <x v="2"/>
          </reference>
        </references>
      </pivotArea>
    </chartFormat>
    <chartFormat chart="11" format="26">
      <pivotArea type="data" outline="0" fieldPosition="0">
        <references count="2">
          <reference field="4294967294" count="1" selected="0">
            <x v="0"/>
          </reference>
          <reference field="0" count="1" selected="0">
            <x v="3"/>
          </reference>
        </references>
      </pivotArea>
    </chartFormat>
    <chartFormat chart="11" format="27">
      <pivotArea type="data" outline="0" fieldPosition="0">
        <references count="2">
          <reference field="4294967294" count="1" selected="0">
            <x v="0"/>
          </reference>
          <reference field="0" count="1" selected="0">
            <x v="4"/>
          </reference>
        </references>
      </pivotArea>
    </chartFormat>
    <chartFormat chart="11" format="28">
      <pivotArea type="data" outline="0" fieldPosition="0">
        <references count="2">
          <reference field="4294967294" count="1" selected="0">
            <x v="0"/>
          </reference>
          <reference field="0" count="1" selected="0">
            <x v="5"/>
          </reference>
        </references>
      </pivotArea>
    </chartFormat>
    <chartFormat chart="11" format="29">
      <pivotArea type="data" outline="0" fieldPosition="0">
        <references count="2">
          <reference field="4294967294" count="1" selected="0">
            <x v="0"/>
          </reference>
          <reference field="0" count="1" selected="0">
            <x v="6"/>
          </reference>
        </references>
      </pivotArea>
    </chartFormat>
    <chartFormat chart="11" format="30">
      <pivotArea type="data" outline="0" fieldPosition="0">
        <references count="2">
          <reference field="4294967294" count="1" selected="0">
            <x v="0"/>
          </reference>
          <reference field="0" count="1" selected="0">
            <x v="7"/>
          </reference>
        </references>
      </pivotArea>
    </chartFormat>
    <chartFormat chart="11" format="31">
      <pivotArea type="data" outline="0" fieldPosition="0">
        <references count="2">
          <reference field="4294967294" count="1" selected="0">
            <x v="0"/>
          </reference>
          <reference field="0" count="1" selected="0">
            <x v="8"/>
          </reference>
        </references>
      </pivotArea>
    </chartFormat>
    <chartFormat chart="11" format="32">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46437F-DC45-42AB-AE34-DF8B85F373CE}" name="PivotTable2" cacheId="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 rowHeaderCaption="Company ">
  <location ref="A3:E13" firstHeaderRow="0" firstDataRow="1" firstDataCol="1"/>
  <pivotFields count="5">
    <pivotField axis="axisRow" allDrilled="1" showAll="0" dataSourceSort="1" defaultAttributeDrillState="1">
      <items count="11">
        <item x="0"/>
        <item x="1"/>
        <item x="2"/>
        <item x="3"/>
        <item x="4"/>
        <item x="5"/>
        <item x="6"/>
        <item x="7"/>
        <item x="8"/>
        <item x="9"/>
        <item t="default"/>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0">
    <i>
      <x/>
    </i>
    <i>
      <x v="1"/>
    </i>
    <i>
      <x v="2"/>
    </i>
    <i>
      <x v="3"/>
    </i>
    <i>
      <x v="4"/>
    </i>
    <i>
      <x v="5"/>
    </i>
    <i>
      <x v="6"/>
    </i>
    <i>
      <x v="7"/>
    </i>
    <i>
      <x v="8"/>
    </i>
    <i>
      <x v="9"/>
    </i>
  </rowItems>
  <colFields count="1">
    <field x="-2"/>
  </colFields>
  <colItems count="4">
    <i>
      <x/>
    </i>
    <i i="1">
      <x v="1"/>
    </i>
    <i i="2">
      <x v="2"/>
    </i>
    <i i="3">
      <x v="3"/>
    </i>
  </colItems>
  <dataFields count="4">
    <dataField name="Profit Margin(%)" fld="1" subtotal="average" baseField="0" baseItem="0" numFmtId="2"/>
    <dataField name="Operating Margin(%)" fld="2" subtotal="average" baseField="0" baseItem="0" numFmtId="2"/>
    <dataField name="CFO Mragins(%)" fld="3" subtotal="average" baseField="0" baseItem="0" numFmtId="2"/>
    <dataField name="FCF Margins(%)" fld="4" subtotal="average" baseField="0" baseItem="0" numFmtId="2"/>
  </dataFields>
  <formats count="4">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Profit Margin(%)"/>
    <pivotHierarchy dragToData="1" caption="Operating Margin(%)"/>
    <pivotHierarchy dragToData="1" caption="CFO Mragins(%)"/>
    <pivotHierarchy dragToData="1" caption="FCF Margins(%)"/>
  </pivotHierarchies>
  <pivotTableStyleInfo name="PivotStyleLight17"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utomated_Report_MS.xlsx!Morningstar_Reports">
        <x15:activeTabTopLevelEntity name="[Morningstar_Repor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8D8ACC-F6CD-4AB1-B0F7-19F253DD9547}" autoFormatId="16" applyNumberFormats="0" applyBorderFormats="0" applyFontFormats="0" applyPatternFormats="0" applyAlignmentFormats="0" applyWidthHeightFormats="0">
  <queryTableRefresh nextId="24" unboundColumnsRight="8">
    <queryTableFields count="23">
      <queryTableField id="1" name="Company Name" tableColumnId="1"/>
      <queryTableField id="2" name="Quarter" tableColumnId="2"/>
      <queryTableField id="3" name="Year" tableColumnId="3"/>
      <queryTableField id="4" name="Revenue (Cr INR)" tableColumnId="4"/>
      <queryTableField id="5" name="Net Profit (Cr INR)" tableColumnId="5"/>
      <queryTableField id="6" name="Operating Profit (Cr INR)" tableColumnId="6"/>
      <queryTableField id="7" name="EPS" tableColumnId="7"/>
      <queryTableField id="8" name="Total Assets (Cr INR)" tableColumnId="8"/>
      <queryTableField id="9" name="Total Liabilities (Cr INR)" tableColumnId="9"/>
      <queryTableField id="10" name="Cash Flow from Operations (Cr INR)" tableColumnId="10"/>
      <queryTableField id="11" name="Free Cash Flow (Cr INR)" tableColumnId="11"/>
      <queryTableField id="12" name="CapEx (Cr INR)" tableColumnId="12"/>
      <queryTableField id="13" name="Market Cap (Cr INR)" tableColumnId="13"/>
      <queryTableField id="14" name="Sector" tableColumnId="14"/>
      <queryTableField id="15" name="Country" tableColumnId="15"/>
      <queryTableField id="16" dataBound="0"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58BB7CE5-2179-4F80-93FD-A532895EB165}" sourceName="Company Name">
  <pivotTables>
    <pivotTable tabId="17" name="PivotTable1"/>
  </pivotTables>
  <data>
    <tabular pivotCacheId="765467181">
      <items count="10">
        <i x="8" s="1"/>
        <i x="2" s="1"/>
        <i x="1" s="1"/>
        <i x="5" s="1"/>
        <i x="6" s="1"/>
        <i x="9" s="1"/>
        <i x="7"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151B3BD-8976-4D27-9678-F4FAF60B3E55}" sourceName="Quarter">
  <pivotTables>
    <pivotTable tabId="17" name="PivotTable1"/>
  </pivotTables>
  <data>
    <tabular pivotCacheId="7654671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62E790E-17FB-4424-B756-948FB2C88081}" sourceName="Year">
  <pivotTables>
    <pivotTable tabId="17" name="PivotTable1"/>
  </pivotTables>
  <data>
    <tabular pivotCacheId="765467181">
      <items count="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A2A5D1F-DD1F-482F-A469-036AFC63BC0A}" sourceName="Country">
  <pivotTables>
    <pivotTable tabId="17" name="PivotTable1"/>
  </pivotTables>
  <data>
    <tabular pivotCacheId="765467181">
      <items count="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1" xr10:uid="{65B318C1-FFC4-43DC-97EE-D8931E85CDB2}" sourceName="Company Name">
  <pivotTables>
    <pivotTable tabId="10" name="PivotTable1"/>
  </pivotTables>
  <data>
    <tabular pivotCacheId="765467181">
      <items count="10">
        <i x="8" s="1"/>
        <i x="2" s="1"/>
        <i x="1" s="1"/>
        <i x="5" s="1"/>
        <i x="6" s="1"/>
        <i x="9" s="1"/>
        <i x="7" s="1"/>
        <i x="0" s="1"/>
        <i x="4"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EA1C1CA7-D5D9-44FA-9160-090C25FD8E2F}" sourceName="Quarter">
  <pivotTables>
    <pivotTable tabId="10" name="PivotTable1"/>
  </pivotTables>
  <data>
    <tabular pivotCacheId="765467181">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7F7AE84-3586-4273-B243-3B254E2902D6}" sourceName="Year">
  <pivotTables>
    <pivotTable tabId="10" name="PivotTable1"/>
  </pivotTables>
  <data>
    <tabular pivotCacheId="765467181">
      <items count="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119FFDA7-34B0-4AE0-8E21-335DECF91ED5}" sourceName="Country">
  <pivotTables>
    <pivotTable tabId="10" name="PivotTable1"/>
  </pivotTables>
  <data>
    <tabular pivotCacheId="765467181">
      <items count="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Name 1" xr10:uid="{4A0AE9EA-6C65-48F6-9AA8-B00D2584C342}" cache="Slicer_Company_Name1" caption="Company Name" rowHeight="247650"/>
  <slicer name="Quarter 1" xr10:uid="{71DAE134-083A-484C-B95E-544FDDC52666}" cache="Slicer_Quarter1" caption="Quarter" rowHeight="247650"/>
  <slicer name="Year 1" xr10:uid="{A2433B99-E683-45EE-A7C0-284C02C4411A}" cache="Slicer_Year1" caption="Year" rowHeight="247650"/>
  <slicer name="Country 1" xr10:uid="{4F5C28EA-961C-445C-996D-F4B9861339D1}" cache="Slicer_Country1"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Name" xr10:uid="{E5313E30-D817-44D8-8090-84C70C1D0B55}" cache="Slicer_Company_Name" caption="Company Name" rowHeight="247650"/>
  <slicer name="Quarter" xr10:uid="{7E5D0A09-DB70-41C3-BCBF-4154CC3CEDB0}" cache="Slicer_Quarter" caption="Quarter" rowHeight="247650"/>
  <slicer name="Year" xr10:uid="{B26ED034-1E08-470A-AE70-A494C3E11806}" cache="Slicer_Year" caption="Year" rowHeight="247650"/>
  <slicer name="Country" xr10:uid="{347641DA-6BD4-4D26-AA11-D32E5E101D10}" cache="Slicer_Country" caption="Count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29F19B-9982-40A8-8960-0D97637A34A4}" name="Morningstar_Reports" displayName="Morningstar_Reports" ref="A1:W21" tableType="queryTable" totalsRowShown="0">
  <tableColumns count="23">
    <tableColumn id="1" xr3:uid="{0A81B246-EA45-42D5-99F2-6173EB4AD878}" uniqueName="1" name="Company Name" queryTableFieldId="1" dataDxfId="26"/>
    <tableColumn id="2" xr3:uid="{21074CA0-5475-4C17-BD28-30E27246821D}" uniqueName="2" name="Quarter" queryTableFieldId="2" dataDxfId="25"/>
    <tableColumn id="3" xr3:uid="{78E2DA3C-C607-43EB-AE22-B9A5A3AF2694}" uniqueName="3" name="Year" queryTableFieldId="3" dataDxfId="24"/>
    <tableColumn id="4" xr3:uid="{9F244F09-9A43-4570-99DB-124FF1A8C6AF}" uniqueName="4" name="Revenue (Cr INR)" queryTableFieldId="4" dataDxfId="23"/>
    <tableColumn id="5" xr3:uid="{DF47C464-95D4-4275-B5E4-A061C171CB69}" uniqueName="5" name="Net Profit (Cr INR)" queryTableFieldId="5" dataDxfId="22"/>
    <tableColumn id="6" xr3:uid="{F19251DE-638B-409A-8D7C-A230E1C9C81C}" uniqueName="6" name="Operating Profit (Cr INR)" queryTableFieldId="6" dataDxfId="21"/>
    <tableColumn id="7" xr3:uid="{3D33040D-E73D-43DE-B282-10FA011D2A77}" uniqueName="7" name="EPS" queryTableFieldId="7" dataDxfId="20"/>
    <tableColumn id="8" xr3:uid="{D1E691AE-C58E-4E39-8F3A-97AC38954855}" uniqueName="8" name="Total Assets (Cr INR)" queryTableFieldId="8" dataDxfId="19"/>
    <tableColumn id="9" xr3:uid="{A10EB549-7B29-4D9F-A209-23C0A905D0D3}" uniqueName="9" name="Total Liabilities (Cr INR)" queryTableFieldId="9" dataDxfId="18"/>
    <tableColumn id="10" xr3:uid="{3ECE6A58-3EFF-41D4-BBEE-4B5335FFEE05}" uniqueName="10" name="Cash Flow from Operations (Cr INR)" queryTableFieldId="10" dataDxfId="17"/>
    <tableColumn id="11" xr3:uid="{C0BC4D3B-E017-4E24-BA05-86D86156693F}" uniqueName="11" name="Free Cash Flow (Cr INR)" queryTableFieldId="11" dataDxfId="16"/>
    <tableColumn id="12" xr3:uid="{6E271C69-336B-44CF-A947-BED54F4F601B}" uniqueName="12" name="CapEx (Cr INR)" queryTableFieldId="12" dataDxfId="15"/>
    <tableColumn id="13" xr3:uid="{89F0A9F0-8F95-46C8-8FEA-21E6C92251B2}" uniqueName="13" name="Market Cap (Cr INR)" queryTableFieldId="13" dataDxfId="14"/>
    <tableColumn id="14" xr3:uid="{F6247131-963D-489D-BCC1-43E67745B210}" uniqueName="14" name="Sector" queryTableFieldId="14" dataDxfId="13"/>
    <tableColumn id="15" xr3:uid="{BAFABD20-FB9A-4F77-BD17-A9848C7B7B41}" uniqueName="15" name="Country" queryTableFieldId="15" dataDxfId="12"/>
    <tableColumn id="16" xr3:uid="{FABE2E1D-6C01-4E75-8BD4-C4932C2818EF}" uniqueName="16" name="Profit Margin(%)" queryTableFieldId="16" dataDxfId="11">
      <calculatedColumnFormula>Morningstar_Reports[[#This Row],[Net Profit (Cr INR)]]/Morningstar_Reports[[#This Row],[Revenue (Cr INR)]] *100</calculatedColumnFormula>
    </tableColumn>
    <tableColumn id="17" xr3:uid="{B259C5A1-7271-4B5A-BF79-AAE0D036EBA5}" uniqueName="17" name="Operating Margin" queryTableFieldId="17" dataDxfId="10">
      <calculatedColumnFormula>Morningstar_Reports[[#This Row],[Operating Profit (Cr INR)]]/Morningstar_Reports[[#This Row],[Revenue (Cr INR)]] * 100</calculatedColumnFormula>
    </tableColumn>
    <tableColumn id="18" xr3:uid="{1DF9114C-D226-42EC-803D-909B80EF175A}" uniqueName="18" name="Debt Ratio" queryTableFieldId="18" dataDxfId="9">
      <calculatedColumnFormula>Morningstar_Reports[[#This Row],[Total Liabilities (Cr INR)]]/Morningstar_Reports[[#This Row],[Total Assets (Cr INR)]]</calculatedColumnFormula>
    </tableColumn>
    <tableColumn id="19" xr3:uid="{22685238-4EEC-4390-B9E8-7355DC610704}" uniqueName="19" name="Asset Turnover" queryTableFieldId="19" dataDxfId="8">
      <calculatedColumnFormula>Morningstar_Reports[[#This Row],[Revenue (Cr INR)]]/Morningstar_Reports[[#This Row],[Total Assets (Cr INR)]]</calculatedColumnFormula>
    </tableColumn>
    <tableColumn id="20" xr3:uid="{F93A1ABF-649B-4C40-9992-F1A0392A8A07}" uniqueName="20" name="Marketcap to revenue" queryTableFieldId="20" dataDxfId="7">
      <calculatedColumnFormula>Morningstar_Reports[[#This Row],[Market Cap (Cr INR)]]/Morningstar_Reports[[#This Row],[Revenue (Cr INR)]]</calculatedColumnFormula>
    </tableColumn>
    <tableColumn id="21" xr3:uid="{307C3F34-CD00-47A3-A572-71359A76CF23}" uniqueName="21" name="Net Assets" queryTableFieldId="21" dataDxfId="6">
      <calculatedColumnFormula>Morningstar_Reports[[#This Row],[Total Assets (Cr INR)]]-Morningstar_Reports[[#This Row],[Total Liabilities (Cr INR)]]</calculatedColumnFormula>
    </tableColumn>
    <tableColumn id="22" xr3:uid="{280270A8-C583-4FF5-B5F0-B5E1F06A50C6}" uniqueName="22" name="CFO Mragins(%)" queryTableFieldId="22" dataDxfId="5">
      <calculatedColumnFormula>Morningstar_Reports[[#This Row],[Cash Flow from Operations (Cr INR)]]/Morningstar_Reports[[#This Row],[Revenue (Cr INR)]] * 100</calculatedColumnFormula>
    </tableColumn>
    <tableColumn id="23" xr3:uid="{6DE8F269-7621-42C2-B6B8-6522B0E76CC5}" uniqueName="23" name="FCF Margins(%)" queryTableFieldId="23" dataDxfId="4">
      <calculatedColumnFormula>Morningstar_Reports[[#This Row],[Free Cash Flow (Cr INR)]]/Morningstar_Reports[[#This Row],[Revenue (Cr INR)]] *100</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3479F-C509-41A7-B3F7-7355C86364F3}">
  <dimension ref="A1:W21"/>
  <sheetViews>
    <sheetView tabSelected="1" zoomScaleNormal="100" workbookViewId="0"/>
  </sheetViews>
  <sheetFormatPr defaultRowHeight="14.4" x14ac:dyDescent="0.3"/>
  <cols>
    <col min="1" max="1" width="29.109375" bestFit="1" customWidth="1"/>
    <col min="2" max="2" width="7.6640625" style="3" bestFit="1" customWidth="1"/>
    <col min="3" max="3" width="5" style="3" bestFit="1" customWidth="1"/>
    <col min="4" max="4" width="14.5546875" style="3" bestFit="1" customWidth="1"/>
    <col min="5" max="5" width="15.21875" style="3" bestFit="1" customWidth="1"/>
    <col min="6" max="6" width="20.33203125" style="3" bestFit="1" customWidth="1"/>
    <col min="7" max="7" width="5" style="3" bestFit="1" customWidth="1"/>
    <col min="8" max="8" width="17.33203125" style="3" bestFit="1" customWidth="1"/>
    <col min="9" max="9" width="19.5546875" style="3" bestFit="1" customWidth="1"/>
    <col min="10" max="10" width="29.6640625" style="3" bestFit="1" customWidth="1"/>
    <col min="11" max="11" width="20" style="3" bestFit="1" customWidth="1"/>
    <col min="12" max="12" width="12.5546875" style="3" bestFit="1" customWidth="1"/>
    <col min="13" max="13" width="16.77734375" style="4" bestFit="1" customWidth="1"/>
    <col min="14" max="14" width="9.44140625" style="3" bestFit="1" customWidth="1"/>
    <col min="15" max="15" width="7.21875" style="3" bestFit="1" customWidth="1"/>
    <col min="16" max="16" width="13.88671875" style="3" bestFit="1" customWidth="1"/>
    <col min="17" max="17" width="16.33203125" style="3" customWidth="1"/>
    <col min="18" max="18" width="9.21875" style="3" bestFit="1" customWidth="1"/>
    <col min="19" max="19" width="12.77734375" style="3" bestFit="1" customWidth="1"/>
    <col min="20" max="20" width="18.44140625" style="3" bestFit="1" customWidth="1"/>
    <col min="21" max="21" width="9.5546875" style="3" bestFit="1" customWidth="1"/>
    <col min="22" max="22" width="13.6640625" customWidth="1"/>
    <col min="23" max="23" width="13.33203125" customWidth="1"/>
  </cols>
  <sheetData>
    <row r="1" spans="1:23" x14ac:dyDescent="0.3">
      <c r="A1" s="3" t="s">
        <v>0</v>
      </c>
      <c r="B1" s="3" t="s">
        <v>1</v>
      </c>
      <c r="C1" s="3" t="s">
        <v>2</v>
      </c>
      <c r="D1" s="3" t="s">
        <v>3</v>
      </c>
      <c r="E1" s="3" t="s">
        <v>4</v>
      </c>
      <c r="F1" s="3" t="s">
        <v>5</v>
      </c>
      <c r="G1" s="3" t="s">
        <v>6</v>
      </c>
      <c r="H1" s="3" t="s">
        <v>7</v>
      </c>
      <c r="I1" s="3" t="s">
        <v>8</v>
      </c>
      <c r="J1" s="3" t="s">
        <v>9</v>
      </c>
      <c r="K1" s="3" t="s">
        <v>10</v>
      </c>
      <c r="L1" s="3" t="s">
        <v>11</v>
      </c>
      <c r="M1" s="4" t="s">
        <v>12</v>
      </c>
      <c r="N1" s="3" t="s">
        <v>13</v>
      </c>
      <c r="O1" s="3" t="s">
        <v>14</v>
      </c>
      <c r="P1" s="3" t="s">
        <v>28</v>
      </c>
      <c r="Q1" s="3" t="s">
        <v>33</v>
      </c>
      <c r="R1" s="3" t="s">
        <v>34</v>
      </c>
      <c r="S1" s="3" t="s">
        <v>35</v>
      </c>
      <c r="T1" s="3" t="s">
        <v>36</v>
      </c>
      <c r="U1" s="3" t="s">
        <v>37</v>
      </c>
      <c r="V1" t="s">
        <v>44</v>
      </c>
      <c r="W1" t="s">
        <v>45</v>
      </c>
    </row>
    <row r="2" spans="1:23" x14ac:dyDescent="0.3">
      <c r="A2" t="s">
        <v>15</v>
      </c>
      <c r="B2" s="3" t="s">
        <v>16</v>
      </c>
      <c r="C2" s="3">
        <v>2026</v>
      </c>
      <c r="D2" s="3">
        <v>64250</v>
      </c>
      <c r="E2" s="3">
        <v>12120</v>
      </c>
      <c r="F2" s="3">
        <v>15400</v>
      </c>
      <c r="G2" s="3">
        <v>34.5</v>
      </c>
      <c r="H2" s="3">
        <v>520000</v>
      </c>
      <c r="I2" s="3">
        <v>138000</v>
      </c>
      <c r="J2" s="3">
        <v>42000</v>
      </c>
      <c r="K2" s="3">
        <v>29500</v>
      </c>
      <c r="L2" s="3">
        <v>4800</v>
      </c>
      <c r="M2" s="4">
        <v>612000</v>
      </c>
      <c r="N2" s="3" t="s">
        <v>17</v>
      </c>
      <c r="O2" s="3" t="s">
        <v>18</v>
      </c>
      <c r="P2" s="5">
        <f>Morningstar_Reports[[#This Row],[Net Profit (Cr INR)]]/Morningstar_Reports[[#This Row],[Revenue (Cr INR)]] *100</f>
        <v>18.863813229571985</v>
      </c>
      <c r="Q2" s="5">
        <f>Morningstar_Reports[[#This Row],[Operating Profit (Cr INR)]]/Morningstar_Reports[[#This Row],[Revenue (Cr INR)]] * 100</f>
        <v>23.968871595330739</v>
      </c>
      <c r="R2" s="5">
        <f>Morningstar_Reports[[#This Row],[Total Liabilities (Cr INR)]]/Morningstar_Reports[[#This Row],[Total Assets (Cr INR)]]</f>
        <v>0.26538461538461539</v>
      </c>
      <c r="S2" s="5">
        <f>Morningstar_Reports[[#This Row],[Revenue (Cr INR)]]/Morningstar_Reports[[#This Row],[Total Assets (Cr INR)]]</f>
        <v>0.12355769230769231</v>
      </c>
      <c r="T2" s="5">
        <f>Morningstar_Reports[[#This Row],[Market Cap (Cr INR)]]/Morningstar_Reports[[#This Row],[Revenue (Cr INR)]]</f>
        <v>9.5252918287937742</v>
      </c>
      <c r="U2" s="6">
        <f>Morningstar_Reports[[#This Row],[Total Assets (Cr INR)]]-Morningstar_Reports[[#This Row],[Total Liabilities (Cr INR)]]</f>
        <v>382000</v>
      </c>
      <c r="V2" s="5">
        <f>Morningstar_Reports[[#This Row],[Cash Flow from Operations (Cr INR)]]/Morningstar_Reports[[#This Row],[Revenue (Cr INR)]] * 100</f>
        <v>65.369649805447466</v>
      </c>
      <c r="W2" s="5">
        <f>Morningstar_Reports[[#This Row],[Free Cash Flow (Cr INR)]]/Morningstar_Reports[[#This Row],[Revenue (Cr INR)]] *100</f>
        <v>45.914396887159533</v>
      </c>
    </row>
    <row r="3" spans="1:23" x14ac:dyDescent="0.3">
      <c r="A3" t="s">
        <v>19</v>
      </c>
      <c r="B3" s="3" t="s">
        <v>16</v>
      </c>
      <c r="C3" s="3">
        <v>2026</v>
      </c>
      <c r="D3" s="3">
        <v>40100</v>
      </c>
      <c r="E3" s="3">
        <v>7900</v>
      </c>
      <c r="F3" s="3">
        <v>9800</v>
      </c>
      <c r="G3" s="3">
        <v>31.2</v>
      </c>
      <c r="H3" s="3">
        <v>98000</v>
      </c>
      <c r="I3" s="3">
        <v>51000</v>
      </c>
      <c r="J3" s="3">
        <v>22000</v>
      </c>
      <c r="K3" s="3">
        <v>18800</v>
      </c>
      <c r="L3" s="3">
        <v>2900</v>
      </c>
      <c r="M3" s="4">
        <v>710000</v>
      </c>
      <c r="N3" s="3" t="s">
        <v>17</v>
      </c>
      <c r="O3" s="3" t="s">
        <v>18</v>
      </c>
      <c r="P3" s="5">
        <f>Morningstar_Reports[[#This Row],[Net Profit (Cr INR)]]/Morningstar_Reports[[#This Row],[Revenue (Cr INR)]] *100</f>
        <v>19.700748129675809</v>
      </c>
      <c r="Q3" s="5">
        <f>Morningstar_Reports[[#This Row],[Operating Profit (Cr INR)]]/Morningstar_Reports[[#This Row],[Revenue (Cr INR)]] * 100</f>
        <v>24.438902743142144</v>
      </c>
      <c r="R3" s="5">
        <f>Morningstar_Reports[[#This Row],[Total Liabilities (Cr INR)]]/Morningstar_Reports[[#This Row],[Total Assets (Cr INR)]]</f>
        <v>0.52040816326530615</v>
      </c>
      <c r="S3" s="5">
        <f>Morningstar_Reports[[#This Row],[Revenue (Cr INR)]]/Morningstar_Reports[[#This Row],[Total Assets (Cr INR)]]</f>
        <v>0.40918367346938778</v>
      </c>
      <c r="T3" s="5">
        <f>Morningstar_Reports[[#This Row],[Market Cap (Cr INR)]]/Morningstar_Reports[[#This Row],[Revenue (Cr INR)]]</f>
        <v>17.705735660847882</v>
      </c>
      <c r="U3" s="6">
        <f>Morningstar_Reports[[#This Row],[Total Assets (Cr INR)]]-Morningstar_Reports[[#This Row],[Total Liabilities (Cr INR)]]</f>
        <v>47000</v>
      </c>
      <c r="V3" s="5">
        <f>Morningstar_Reports[[#This Row],[Cash Flow from Operations (Cr INR)]]/Morningstar_Reports[[#This Row],[Revenue (Cr INR)]] * 100</f>
        <v>54.862842892768086</v>
      </c>
      <c r="W3" s="5">
        <f>Morningstar_Reports[[#This Row],[Free Cash Flow (Cr INR)]]/Morningstar_Reports[[#This Row],[Revenue (Cr INR)]] *100</f>
        <v>46.882793017456358</v>
      </c>
    </row>
    <row r="4" spans="1:23" x14ac:dyDescent="0.3">
      <c r="A4" t="s">
        <v>20</v>
      </c>
      <c r="B4" s="3" t="s">
        <v>16</v>
      </c>
      <c r="C4" s="3">
        <v>2026</v>
      </c>
      <c r="D4" s="3">
        <v>30250</v>
      </c>
      <c r="E4" s="3">
        <v>5100</v>
      </c>
      <c r="F4" s="3">
        <v>7100</v>
      </c>
      <c r="G4" s="3">
        <v>18.899999999999999</v>
      </c>
      <c r="H4" s="3">
        <v>76000</v>
      </c>
      <c r="I4" s="3">
        <v>43000</v>
      </c>
      <c r="J4" s="3">
        <v>14500</v>
      </c>
      <c r="K4" s="3">
        <v>12300</v>
      </c>
      <c r="L4" s="3">
        <v>2100</v>
      </c>
      <c r="M4" s="4">
        <v>435000</v>
      </c>
      <c r="N4" s="3" t="s">
        <v>17</v>
      </c>
      <c r="O4" s="3" t="s">
        <v>18</v>
      </c>
      <c r="P4" s="5">
        <f>Morningstar_Reports[[#This Row],[Net Profit (Cr INR)]]/Morningstar_Reports[[#This Row],[Revenue (Cr INR)]] *100</f>
        <v>16.859504132231404</v>
      </c>
      <c r="Q4" s="5">
        <f>Morningstar_Reports[[#This Row],[Operating Profit (Cr INR)]]/Morningstar_Reports[[#This Row],[Revenue (Cr INR)]] * 100</f>
        <v>23.471074380165287</v>
      </c>
      <c r="R4" s="5">
        <f>Morningstar_Reports[[#This Row],[Total Liabilities (Cr INR)]]/Morningstar_Reports[[#This Row],[Total Assets (Cr INR)]]</f>
        <v>0.56578947368421051</v>
      </c>
      <c r="S4" s="5">
        <f>Morningstar_Reports[[#This Row],[Revenue (Cr INR)]]/Morningstar_Reports[[#This Row],[Total Assets (Cr INR)]]</f>
        <v>0.39802631578947367</v>
      </c>
      <c r="T4" s="5">
        <f>Morningstar_Reports[[#This Row],[Market Cap (Cr INR)]]/Morningstar_Reports[[#This Row],[Revenue (Cr INR)]]</f>
        <v>14.380165289256198</v>
      </c>
      <c r="U4" s="6">
        <f>Morningstar_Reports[[#This Row],[Total Assets (Cr INR)]]-Morningstar_Reports[[#This Row],[Total Liabilities (Cr INR)]]</f>
        <v>33000</v>
      </c>
      <c r="V4" s="5">
        <f>Morningstar_Reports[[#This Row],[Cash Flow from Operations (Cr INR)]]/Morningstar_Reports[[#This Row],[Revenue (Cr INR)]] * 100</f>
        <v>47.933884297520663</v>
      </c>
      <c r="W4" s="5">
        <f>Morningstar_Reports[[#This Row],[Free Cash Flow (Cr INR)]]/Morningstar_Reports[[#This Row],[Revenue (Cr INR)]] *100</f>
        <v>40.66115702479339</v>
      </c>
    </row>
    <row r="5" spans="1:23" x14ac:dyDescent="0.3">
      <c r="A5" t="s">
        <v>21</v>
      </c>
      <c r="B5" s="3" t="s">
        <v>16</v>
      </c>
      <c r="C5" s="3">
        <v>2026</v>
      </c>
      <c r="D5" s="3">
        <v>22500</v>
      </c>
      <c r="E5" s="3">
        <v>3200</v>
      </c>
      <c r="F5" s="3">
        <v>5100</v>
      </c>
      <c r="G5" s="3">
        <v>12.4</v>
      </c>
      <c r="H5" s="3">
        <v>62000</v>
      </c>
      <c r="I5" s="3">
        <v>38000</v>
      </c>
      <c r="J5" s="3">
        <v>11800</v>
      </c>
      <c r="K5" s="3">
        <v>9700</v>
      </c>
      <c r="L5" s="3">
        <v>1800</v>
      </c>
      <c r="M5" s="4">
        <v>320000</v>
      </c>
      <c r="N5" s="3" t="s">
        <v>17</v>
      </c>
      <c r="O5" s="3" t="s">
        <v>18</v>
      </c>
      <c r="P5" s="5">
        <f>Morningstar_Reports[[#This Row],[Net Profit (Cr INR)]]/Morningstar_Reports[[#This Row],[Revenue (Cr INR)]] *100</f>
        <v>14.222222222222221</v>
      </c>
      <c r="Q5" s="5">
        <f>Morningstar_Reports[[#This Row],[Operating Profit (Cr INR)]]/Morningstar_Reports[[#This Row],[Revenue (Cr INR)]] * 100</f>
        <v>22.666666666666664</v>
      </c>
      <c r="R5" s="5">
        <f>Morningstar_Reports[[#This Row],[Total Liabilities (Cr INR)]]/Morningstar_Reports[[#This Row],[Total Assets (Cr INR)]]</f>
        <v>0.61290322580645162</v>
      </c>
      <c r="S5" s="5">
        <f>Morningstar_Reports[[#This Row],[Revenue (Cr INR)]]/Morningstar_Reports[[#This Row],[Total Assets (Cr INR)]]</f>
        <v>0.36290322580645162</v>
      </c>
      <c r="T5" s="5">
        <f>Morningstar_Reports[[#This Row],[Market Cap (Cr INR)]]/Morningstar_Reports[[#This Row],[Revenue (Cr INR)]]</f>
        <v>14.222222222222221</v>
      </c>
      <c r="U5" s="6">
        <f>Morningstar_Reports[[#This Row],[Total Assets (Cr INR)]]-Morningstar_Reports[[#This Row],[Total Liabilities (Cr INR)]]</f>
        <v>24000</v>
      </c>
      <c r="V5" s="5">
        <f>Morningstar_Reports[[#This Row],[Cash Flow from Operations (Cr INR)]]/Morningstar_Reports[[#This Row],[Revenue (Cr INR)]] * 100</f>
        <v>52.44444444444445</v>
      </c>
      <c r="W5" s="5">
        <f>Morningstar_Reports[[#This Row],[Free Cash Flow (Cr INR)]]/Morningstar_Reports[[#This Row],[Revenue (Cr INR)]] *100</f>
        <v>43.111111111111114</v>
      </c>
    </row>
    <row r="6" spans="1:23" x14ac:dyDescent="0.3">
      <c r="A6" t="s">
        <v>22</v>
      </c>
      <c r="B6" s="3" t="s">
        <v>16</v>
      </c>
      <c r="C6" s="3">
        <v>2026</v>
      </c>
      <c r="D6" s="3">
        <v>15100</v>
      </c>
      <c r="E6" s="3">
        <v>1800</v>
      </c>
      <c r="F6" s="3">
        <v>3200</v>
      </c>
      <c r="G6" s="3">
        <v>9.6</v>
      </c>
      <c r="H6" s="3">
        <v>41000</v>
      </c>
      <c r="I6" s="3">
        <v>25000</v>
      </c>
      <c r="J6" s="3">
        <v>7200</v>
      </c>
      <c r="K6" s="3">
        <v>6100</v>
      </c>
      <c r="L6" s="3">
        <v>1200</v>
      </c>
      <c r="M6" s="4">
        <v>148000</v>
      </c>
      <c r="N6" s="3" t="s">
        <v>17</v>
      </c>
      <c r="O6" s="3" t="s">
        <v>18</v>
      </c>
      <c r="P6" s="5">
        <f>Morningstar_Reports[[#This Row],[Net Profit (Cr INR)]]/Morningstar_Reports[[#This Row],[Revenue (Cr INR)]] *100</f>
        <v>11.920529801324504</v>
      </c>
      <c r="Q6" s="5">
        <f>Morningstar_Reports[[#This Row],[Operating Profit (Cr INR)]]/Morningstar_Reports[[#This Row],[Revenue (Cr INR)]] * 100</f>
        <v>21.192052980132452</v>
      </c>
      <c r="R6" s="5">
        <f>Morningstar_Reports[[#This Row],[Total Liabilities (Cr INR)]]/Morningstar_Reports[[#This Row],[Total Assets (Cr INR)]]</f>
        <v>0.6097560975609756</v>
      </c>
      <c r="S6" s="5">
        <f>Morningstar_Reports[[#This Row],[Revenue (Cr INR)]]/Morningstar_Reports[[#This Row],[Total Assets (Cr INR)]]</f>
        <v>0.36829268292682926</v>
      </c>
      <c r="T6" s="5">
        <f>Morningstar_Reports[[#This Row],[Market Cap (Cr INR)]]/Morningstar_Reports[[#This Row],[Revenue (Cr INR)]]</f>
        <v>9.8013245033112586</v>
      </c>
      <c r="U6" s="6">
        <f>Morningstar_Reports[[#This Row],[Total Assets (Cr INR)]]-Morningstar_Reports[[#This Row],[Total Liabilities (Cr INR)]]</f>
        <v>16000</v>
      </c>
      <c r="V6" s="5">
        <f>Morningstar_Reports[[#This Row],[Cash Flow from Operations (Cr INR)]]/Morningstar_Reports[[#This Row],[Revenue (Cr INR)]] * 100</f>
        <v>47.682119205298015</v>
      </c>
      <c r="W6" s="5">
        <f>Morningstar_Reports[[#This Row],[Free Cash Flow (Cr INR)]]/Morningstar_Reports[[#This Row],[Revenue (Cr INR)]] *100</f>
        <v>40.397350993377486</v>
      </c>
    </row>
    <row r="7" spans="1:23" x14ac:dyDescent="0.3">
      <c r="A7" t="s">
        <v>23</v>
      </c>
      <c r="B7" s="3" t="s">
        <v>16</v>
      </c>
      <c r="C7" s="3">
        <v>2026</v>
      </c>
      <c r="D7" s="3">
        <v>11250</v>
      </c>
      <c r="E7" s="3">
        <v>1650</v>
      </c>
      <c r="F7" s="3">
        <v>2600</v>
      </c>
      <c r="G7" s="3">
        <v>18.100000000000001</v>
      </c>
      <c r="H7" s="3">
        <v>28500</v>
      </c>
      <c r="I7" s="3">
        <v>14000</v>
      </c>
      <c r="J7" s="3">
        <v>5100</v>
      </c>
      <c r="K7" s="3">
        <v>4300</v>
      </c>
      <c r="L7" s="3">
        <v>900</v>
      </c>
      <c r="M7" s="4">
        <v>175000</v>
      </c>
      <c r="N7" s="3" t="s">
        <v>17</v>
      </c>
      <c r="O7" s="3" t="s">
        <v>18</v>
      </c>
      <c r="P7" s="5">
        <f>Morningstar_Reports[[#This Row],[Net Profit (Cr INR)]]/Morningstar_Reports[[#This Row],[Revenue (Cr INR)]] *100</f>
        <v>14.666666666666666</v>
      </c>
      <c r="Q7" s="5">
        <f>Morningstar_Reports[[#This Row],[Operating Profit (Cr INR)]]/Morningstar_Reports[[#This Row],[Revenue (Cr INR)]] * 100</f>
        <v>23.111111111111111</v>
      </c>
      <c r="R7" s="5">
        <f>Morningstar_Reports[[#This Row],[Total Liabilities (Cr INR)]]/Morningstar_Reports[[#This Row],[Total Assets (Cr INR)]]</f>
        <v>0.49122807017543857</v>
      </c>
      <c r="S7" s="5">
        <f>Morningstar_Reports[[#This Row],[Revenue (Cr INR)]]/Morningstar_Reports[[#This Row],[Total Assets (Cr INR)]]</f>
        <v>0.39473684210526316</v>
      </c>
      <c r="T7" s="5">
        <f>Morningstar_Reports[[#This Row],[Market Cap (Cr INR)]]/Morningstar_Reports[[#This Row],[Revenue (Cr INR)]]</f>
        <v>15.555555555555555</v>
      </c>
      <c r="U7" s="6">
        <f>Morningstar_Reports[[#This Row],[Total Assets (Cr INR)]]-Morningstar_Reports[[#This Row],[Total Liabilities (Cr INR)]]</f>
        <v>14500</v>
      </c>
      <c r="V7" s="5">
        <f>Morningstar_Reports[[#This Row],[Cash Flow from Operations (Cr INR)]]/Morningstar_Reports[[#This Row],[Revenue (Cr INR)]] * 100</f>
        <v>45.333333333333329</v>
      </c>
      <c r="W7" s="5">
        <f>Morningstar_Reports[[#This Row],[Free Cash Flow (Cr INR)]]/Morningstar_Reports[[#This Row],[Revenue (Cr INR)]] *100</f>
        <v>38.222222222222221</v>
      </c>
    </row>
    <row r="8" spans="1:23" x14ac:dyDescent="0.3">
      <c r="A8" t="s">
        <v>24</v>
      </c>
      <c r="B8" s="3" t="s">
        <v>16</v>
      </c>
      <c r="C8" s="3">
        <v>2026</v>
      </c>
      <c r="D8" s="3">
        <v>4200</v>
      </c>
      <c r="E8" s="3">
        <v>720</v>
      </c>
      <c r="F8" s="3">
        <v>1100</v>
      </c>
      <c r="G8" s="3">
        <v>13.7</v>
      </c>
      <c r="H8" s="3">
        <v>12000</v>
      </c>
      <c r="I8" s="3">
        <v>6400</v>
      </c>
      <c r="J8" s="3">
        <v>1900</v>
      </c>
      <c r="K8" s="3">
        <v>1600</v>
      </c>
      <c r="L8" s="3">
        <v>350</v>
      </c>
      <c r="M8" s="4">
        <v>52000</v>
      </c>
      <c r="N8" s="3" t="s">
        <v>17</v>
      </c>
      <c r="O8" s="3" t="s">
        <v>18</v>
      </c>
      <c r="P8" s="5">
        <f>Morningstar_Reports[[#This Row],[Net Profit (Cr INR)]]/Morningstar_Reports[[#This Row],[Revenue (Cr INR)]] *100</f>
        <v>17.142857142857142</v>
      </c>
      <c r="Q8" s="5">
        <f>Morningstar_Reports[[#This Row],[Operating Profit (Cr INR)]]/Morningstar_Reports[[#This Row],[Revenue (Cr INR)]] * 100</f>
        <v>26.190476190476193</v>
      </c>
      <c r="R8" s="5">
        <f>Morningstar_Reports[[#This Row],[Total Liabilities (Cr INR)]]/Morningstar_Reports[[#This Row],[Total Assets (Cr INR)]]</f>
        <v>0.53333333333333333</v>
      </c>
      <c r="S8" s="5">
        <f>Morningstar_Reports[[#This Row],[Revenue (Cr INR)]]/Morningstar_Reports[[#This Row],[Total Assets (Cr INR)]]</f>
        <v>0.35</v>
      </c>
      <c r="T8" s="5">
        <f>Morningstar_Reports[[#This Row],[Market Cap (Cr INR)]]/Morningstar_Reports[[#This Row],[Revenue (Cr INR)]]</f>
        <v>12.380952380952381</v>
      </c>
      <c r="U8" s="6">
        <f>Morningstar_Reports[[#This Row],[Total Assets (Cr INR)]]-Morningstar_Reports[[#This Row],[Total Liabilities (Cr INR)]]</f>
        <v>5600</v>
      </c>
      <c r="V8" s="5">
        <f>Morningstar_Reports[[#This Row],[Cash Flow from Operations (Cr INR)]]/Morningstar_Reports[[#This Row],[Revenue (Cr INR)]] * 100</f>
        <v>45.238095238095241</v>
      </c>
      <c r="W8" s="5">
        <f>Morningstar_Reports[[#This Row],[Free Cash Flow (Cr INR)]]/Morningstar_Reports[[#This Row],[Revenue (Cr INR)]] *100</f>
        <v>38.095238095238095</v>
      </c>
    </row>
    <row r="9" spans="1:23" x14ac:dyDescent="0.3">
      <c r="A9" t="s">
        <v>25</v>
      </c>
      <c r="B9" s="3" t="s">
        <v>16</v>
      </c>
      <c r="C9" s="3">
        <v>2026</v>
      </c>
      <c r="D9" s="3">
        <v>3350</v>
      </c>
      <c r="E9" s="3">
        <v>540</v>
      </c>
      <c r="F9" s="3">
        <v>860</v>
      </c>
      <c r="G9" s="3">
        <v>11.4</v>
      </c>
      <c r="H9" s="3">
        <v>9800</v>
      </c>
      <c r="I9" s="3">
        <v>4700</v>
      </c>
      <c r="J9" s="3">
        <v>1550</v>
      </c>
      <c r="K9" s="3">
        <v>1310</v>
      </c>
      <c r="L9" s="3">
        <v>290</v>
      </c>
      <c r="M9" s="4">
        <v>48000</v>
      </c>
      <c r="N9" s="3" t="s">
        <v>17</v>
      </c>
      <c r="O9" s="3" t="s">
        <v>18</v>
      </c>
      <c r="P9" s="5">
        <f>Morningstar_Reports[[#This Row],[Net Profit (Cr INR)]]/Morningstar_Reports[[#This Row],[Revenue (Cr INR)]] *100</f>
        <v>16.119402985074625</v>
      </c>
      <c r="Q9" s="5">
        <f>Morningstar_Reports[[#This Row],[Operating Profit (Cr INR)]]/Morningstar_Reports[[#This Row],[Revenue (Cr INR)]] * 100</f>
        <v>25.671641791044774</v>
      </c>
      <c r="R9" s="5">
        <f>Morningstar_Reports[[#This Row],[Total Liabilities (Cr INR)]]/Morningstar_Reports[[#This Row],[Total Assets (Cr INR)]]</f>
        <v>0.47959183673469385</v>
      </c>
      <c r="S9" s="5">
        <f>Morningstar_Reports[[#This Row],[Revenue (Cr INR)]]/Morningstar_Reports[[#This Row],[Total Assets (Cr INR)]]</f>
        <v>0.34183673469387754</v>
      </c>
      <c r="T9" s="5">
        <f>Morningstar_Reports[[#This Row],[Market Cap (Cr INR)]]/Morningstar_Reports[[#This Row],[Revenue (Cr INR)]]</f>
        <v>14.328358208955224</v>
      </c>
      <c r="U9" s="6">
        <f>Morningstar_Reports[[#This Row],[Total Assets (Cr INR)]]-Morningstar_Reports[[#This Row],[Total Liabilities (Cr INR)]]</f>
        <v>5100</v>
      </c>
      <c r="V9" s="5">
        <f>Morningstar_Reports[[#This Row],[Cash Flow from Operations (Cr INR)]]/Morningstar_Reports[[#This Row],[Revenue (Cr INR)]] * 100</f>
        <v>46.268656716417908</v>
      </c>
      <c r="W9" s="5">
        <f>Morningstar_Reports[[#This Row],[Free Cash Flow (Cr INR)]]/Morningstar_Reports[[#This Row],[Revenue (Cr INR)]] *100</f>
        <v>39.104477611940297</v>
      </c>
    </row>
    <row r="10" spans="1:23" x14ac:dyDescent="0.3">
      <c r="A10" t="s">
        <v>26</v>
      </c>
      <c r="B10" s="3" t="s">
        <v>16</v>
      </c>
      <c r="C10" s="3">
        <v>2026</v>
      </c>
      <c r="D10" s="3">
        <v>2950</v>
      </c>
      <c r="E10" s="3">
        <v>460</v>
      </c>
      <c r="F10" s="3">
        <v>780</v>
      </c>
      <c r="G10" s="3">
        <v>9.1999999999999993</v>
      </c>
      <c r="H10" s="3">
        <v>8600</v>
      </c>
      <c r="I10" s="3">
        <v>3900</v>
      </c>
      <c r="J10" s="3">
        <v>1340</v>
      </c>
      <c r="K10" s="3">
        <v>1100</v>
      </c>
      <c r="L10" s="3">
        <v>260</v>
      </c>
      <c r="M10" s="4">
        <v>39000</v>
      </c>
      <c r="N10" s="3" t="s">
        <v>17</v>
      </c>
      <c r="O10" s="3" t="s">
        <v>18</v>
      </c>
      <c r="P10" s="5">
        <f>Morningstar_Reports[[#This Row],[Net Profit (Cr INR)]]/Morningstar_Reports[[#This Row],[Revenue (Cr INR)]] *100</f>
        <v>15.593220338983052</v>
      </c>
      <c r="Q10" s="5">
        <f>Morningstar_Reports[[#This Row],[Operating Profit (Cr INR)]]/Morningstar_Reports[[#This Row],[Revenue (Cr INR)]] * 100</f>
        <v>26.440677966101696</v>
      </c>
      <c r="R10" s="5">
        <f>Morningstar_Reports[[#This Row],[Total Liabilities (Cr INR)]]/Morningstar_Reports[[#This Row],[Total Assets (Cr INR)]]</f>
        <v>0.45348837209302323</v>
      </c>
      <c r="S10" s="5">
        <f>Morningstar_Reports[[#This Row],[Revenue (Cr INR)]]/Morningstar_Reports[[#This Row],[Total Assets (Cr INR)]]</f>
        <v>0.34302325581395349</v>
      </c>
      <c r="T10" s="5">
        <f>Morningstar_Reports[[#This Row],[Market Cap (Cr INR)]]/Morningstar_Reports[[#This Row],[Revenue (Cr INR)]]</f>
        <v>13.220338983050848</v>
      </c>
      <c r="U10" s="6">
        <f>Morningstar_Reports[[#This Row],[Total Assets (Cr INR)]]-Morningstar_Reports[[#This Row],[Total Liabilities (Cr INR)]]</f>
        <v>4700</v>
      </c>
      <c r="V10" s="5">
        <f>Morningstar_Reports[[#This Row],[Cash Flow from Operations (Cr INR)]]/Morningstar_Reports[[#This Row],[Revenue (Cr INR)]] * 100</f>
        <v>45.423728813559322</v>
      </c>
      <c r="W10" s="5">
        <f>Morningstar_Reports[[#This Row],[Free Cash Flow (Cr INR)]]/Morningstar_Reports[[#This Row],[Revenue (Cr INR)]] *100</f>
        <v>37.288135593220339</v>
      </c>
    </row>
    <row r="11" spans="1:23" x14ac:dyDescent="0.3">
      <c r="A11" t="s">
        <v>27</v>
      </c>
      <c r="B11" s="3" t="s">
        <v>16</v>
      </c>
      <c r="C11" s="3">
        <v>2026</v>
      </c>
      <c r="D11" s="3">
        <v>2150</v>
      </c>
      <c r="E11" s="3">
        <v>410</v>
      </c>
      <c r="F11" s="3">
        <v>650</v>
      </c>
      <c r="G11" s="3">
        <v>23.6</v>
      </c>
      <c r="H11" s="3">
        <v>7200</v>
      </c>
      <c r="I11" s="3">
        <v>2100</v>
      </c>
      <c r="J11" s="3">
        <v>980</v>
      </c>
      <c r="K11" s="3">
        <v>860</v>
      </c>
      <c r="L11" s="3">
        <v>180</v>
      </c>
      <c r="M11" s="4">
        <v>62000</v>
      </c>
      <c r="N11" s="3" t="s">
        <v>17</v>
      </c>
      <c r="O11" s="3" t="s">
        <v>18</v>
      </c>
      <c r="P11" s="5">
        <f>Morningstar_Reports[[#This Row],[Net Profit (Cr INR)]]/Morningstar_Reports[[#This Row],[Revenue (Cr INR)]] *100</f>
        <v>19.069767441860467</v>
      </c>
      <c r="Q11" s="5">
        <f>Morningstar_Reports[[#This Row],[Operating Profit (Cr INR)]]/Morningstar_Reports[[#This Row],[Revenue (Cr INR)]] * 100</f>
        <v>30.232558139534881</v>
      </c>
      <c r="R11" s="5">
        <f>Morningstar_Reports[[#This Row],[Total Liabilities (Cr INR)]]/Morningstar_Reports[[#This Row],[Total Assets (Cr INR)]]</f>
        <v>0.29166666666666669</v>
      </c>
      <c r="S11" s="5">
        <f>Morningstar_Reports[[#This Row],[Revenue (Cr INR)]]/Morningstar_Reports[[#This Row],[Total Assets (Cr INR)]]</f>
        <v>0.2986111111111111</v>
      </c>
      <c r="T11" s="5">
        <f>Morningstar_Reports[[#This Row],[Market Cap (Cr INR)]]/Morningstar_Reports[[#This Row],[Revenue (Cr INR)]]</f>
        <v>28.837209302325583</v>
      </c>
      <c r="U11" s="6">
        <f>Morningstar_Reports[[#This Row],[Total Assets (Cr INR)]]-Morningstar_Reports[[#This Row],[Total Liabilities (Cr INR)]]</f>
        <v>5100</v>
      </c>
      <c r="V11" s="5">
        <f>Morningstar_Reports[[#This Row],[Cash Flow from Operations (Cr INR)]]/Morningstar_Reports[[#This Row],[Revenue (Cr INR)]] * 100</f>
        <v>45.581395348837212</v>
      </c>
      <c r="W11" s="5">
        <f>Morningstar_Reports[[#This Row],[Free Cash Flow (Cr INR)]]/Morningstar_Reports[[#This Row],[Revenue (Cr INR)]] *100</f>
        <v>40</v>
      </c>
    </row>
    <row r="12" spans="1:23" x14ac:dyDescent="0.3">
      <c r="A12" t="s">
        <v>15</v>
      </c>
      <c r="B12" s="3" t="s">
        <v>38</v>
      </c>
      <c r="C12" s="3">
        <v>2026</v>
      </c>
      <c r="D12" s="3">
        <v>64350</v>
      </c>
      <c r="E12" s="3">
        <v>12112</v>
      </c>
      <c r="F12" s="3">
        <v>15420</v>
      </c>
      <c r="G12" s="3">
        <v>33.5</v>
      </c>
      <c r="H12" s="3">
        <v>525000</v>
      </c>
      <c r="I12" s="3">
        <v>138700</v>
      </c>
      <c r="J12" s="3">
        <v>42500</v>
      </c>
      <c r="K12" s="3">
        <v>29800</v>
      </c>
      <c r="L12" s="3">
        <v>4750</v>
      </c>
      <c r="M12" s="4">
        <v>612200</v>
      </c>
      <c r="N12" s="3" t="s">
        <v>17</v>
      </c>
      <c r="O12" s="3" t="s">
        <v>18</v>
      </c>
      <c r="P12" s="5">
        <f>Morningstar_Reports[[#This Row],[Net Profit (Cr INR)]]/Morningstar_Reports[[#This Row],[Revenue (Cr INR)]] *100</f>
        <v>18.822066822066823</v>
      </c>
      <c r="Q12" s="5">
        <f>Morningstar_Reports[[#This Row],[Operating Profit (Cr INR)]]/Morningstar_Reports[[#This Row],[Revenue (Cr INR)]] * 100</f>
        <v>23.962703962703962</v>
      </c>
      <c r="R12" s="5">
        <f>Morningstar_Reports[[#This Row],[Total Liabilities (Cr INR)]]/Morningstar_Reports[[#This Row],[Total Assets (Cr INR)]]</f>
        <v>0.2641904761904762</v>
      </c>
      <c r="S12" s="5">
        <f>Morningstar_Reports[[#This Row],[Revenue (Cr INR)]]/Morningstar_Reports[[#This Row],[Total Assets (Cr INR)]]</f>
        <v>0.12257142857142857</v>
      </c>
      <c r="T12" s="5">
        <f>Morningstar_Reports[[#This Row],[Market Cap (Cr INR)]]/Morningstar_Reports[[#This Row],[Revenue (Cr INR)]]</f>
        <v>9.5135975135975137</v>
      </c>
      <c r="U12" s="6">
        <f>Morningstar_Reports[[#This Row],[Total Assets (Cr INR)]]-Morningstar_Reports[[#This Row],[Total Liabilities (Cr INR)]]</f>
        <v>386300</v>
      </c>
      <c r="V12" s="5">
        <f>Morningstar_Reports[[#This Row],[Cash Flow from Operations (Cr INR)]]/Morningstar_Reports[[#This Row],[Revenue (Cr INR)]] * 100</f>
        <v>66.045066045066051</v>
      </c>
      <c r="W12" s="5">
        <f>Morningstar_Reports[[#This Row],[Free Cash Flow (Cr INR)]]/Morningstar_Reports[[#This Row],[Revenue (Cr INR)]] *100</f>
        <v>46.309246309246312</v>
      </c>
    </row>
    <row r="13" spans="1:23" x14ac:dyDescent="0.3">
      <c r="A13" t="s">
        <v>19</v>
      </c>
      <c r="B13" s="3" t="s">
        <v>38</v>
      </c>
      <c r="C13" s="3">
        <v>2026</v>
      </c>
      <c r="D13" s="3">
        <v>40200</v>
      </c>
      <c r="E13" s="3">
        <v>7950</v>
      </c>
      <c r="F13" s="3">
        <v>9830</v>
      </c>
      <c r="G13" s="3">
        <v>30.8</v>
      </c>
      <c r="H13" s="3">
        <v>98100</v>
      </c>
      <c r="I13" s="3">
        <v>51200</v>
      </c>
      <c r="J13" s="3">
        <v>22500</v>
      </c>
      <c r="K13" s="3">
        <v>18900</v>
      </c>
      <c r="L13" s="3">
        <v>2950</v>
      </c>
      <c r="M13" s="4">
        <v>712000</v>
      </c>
      <c r="N13" s="3" t="s">
        <v>17</v>
      </c>
      <c r="O13" s="3" t="s">
        <v>18</v>
      </c>
      <c r="P13" s="5">
        <f>Morningstar_Reports[[#This Row],[Net Profit (Cr INR)]]/Morningstar_Reports[[#This Row],[Revenue (Cr INR)]] *100</f>
        <v>19.776119402985074</v>
      </c>
      <c r="Q13" s="5">
        <f>Morningstar_Reports[[#This Row],[Operating Profit (Cr INR)]]/Morningstar_Reports[[#This Row],[Revenue (Cr INR)]] * 100</f>
        <v>24.452736318407961</v>
      </c>
      <c r="R13" s="5">
        <f>Morningstar_Reports[[#This Row],[Total Liabilities (Cr INR)]]/Morningstar_Reports[[#This Row],[Total Assets (Cr INR)]]</f>
        <v>0.52191641182466875</v>
      </c>
      <c r="S13" s="5">
        <f>Morningstar_Reports[[#This Row],[Revenue (Cr INR)]]/Morningstar_Reports[[#This Row],[Total Assets (Cr INR)]]</f>
        <v>0.40978593272171254</v>
      </c>
      <c r="T13" s="5">
        <f>Morningstar_Reports[[#This Row],[Market Cap (Cr INR)]]/Morningstar_Reports[[#This Row],[Revenue (Cr INR)]]</f>
        <v>17.71144278606965</v>
      </c>
      <c r="U13" s="6">
        <f>Morningstar_Reports[[#This Row],[Total Assets (Cr INR)]]-Morningstar_Reports[[#This Row],[Total Liabilities (Cr INR)]]</f>
        <v>46900</v>
      </c>
      <c r="V13" s="5">
        <f>Morningstar_Reports[[#This Row],[Cash Flow from Operations (Cr INR)]]/Morningstar_Reports[[#This Row],[Revenue (Cr INR)]] * 100</f>
        <v>55.970149253731336</v>
      </c>
      <c r="W13" s="5">
        <f>Morningstar_Reports[[#This Row],[Free Cash Flow (Cr INR)]]/Morningstar_Reports[[#This Row],[Revenue (Cr INR)]] *100</f>
        <v>47.014925373134332</v>
      </c>
    </row>
    <row r="14" spans="1:23" x14ac:dyDescent="0.3">
      <c r="A14" t="s">
        <v>20</v>
      </c>
      <c r="B14" s="3" t="s">
        <v>38</v>
      </c>
      <c r="C14" s="3">
        <v>2026</v>
      </c>
      <c r="D14" s="3">
        <v>30150</v>
      </c>
      <c r="E14" s="3">
        <v>5020</v>
      </c>
      <c r="F14" s="3">
        <v>7000</v>
      </c>
      <c r="G14" s="3">
        <v>19.100000000000001</v>
      </c>
      <c r="H14" s="3">
        <v>75100</v>
      </c>
      <c r="I14" s="3">
        <v>42500</v>
      </c>
      <c r="J14" s="3">
        <v>14000</v>
      </c>
      <c r="K14" s="3">
        <v>12500</v>
      </c>
      <c r="L14" s="3">
        <v>2200</v>
      </c>
      <c r="M14" s="4">
        <v>437000</v>
      </c>
      <c r="N14" s="3" t="s">
        <v>17</v>
      </c>
      <c r="O14" s="3" t="s">
        <v>18</v>
      </c>
      <c r="P14" s="5">
        <f>Morningstar_Reports[[#This Row],[Net Profit (Cr INR)]]/Morningstar_Reports[[#This Row],[Revenue (Cr INR)]] *100</f>
        <v>16.650082918739635</v>
      </c>
      <c r="Q14" s="5">
        <f>Morningstar_Reports[[#This Row],[Operating Profit (Cr INR)]]/Morningstar_Reports[[#This Row],[Revenue (Cr INR)]] * 100</f>
        <v>23.217247097844112</v>
      </c>
      <c r="R14" s="5">
        <f>Morningstar_Reports[[#This Row],[Total Liabilities (Cr INR)]]/Morningstar_Reports[[#This Row],[Total Assets (Cr INR)]]</f>
        <v>0.56591211717709722</v>
      </c>
      <c r="S14" s="5">
        <f>Morningstar_Reports[[#This Row],[Revenue (Cr INR)]]/Morningstar_Reports[[#This Row],[Total Assets (Cr INR)]]</f>
        <v>0.40146471371504661</v>
      </c>
      <c r="T14" s="5">
        <f>Morningstar_Reports[[#This Row],[Market Cap (Cr INR)]]/Morningstar_Reports[[#This Row],[Revenue (Cr INR)]]</f>
        <v>14.494195688225538</v>
      </c>
      <c r="U14" s="6">
        <f>Morningstar_Reports[[#This Row],[Total Assets (Cr INR)]]-Morningstar_Reports[[#This Row],[Total Liabilities (Cr INR)]]</f>
        <v>32600</v>
      </c>
      <c r="V14" s="5">
        <f>Morningstar_Reports[[#This Row],[Cash Flow from Operations (Cr INR)]]/Morningstar_Reports[[#This Row],[Revenue (Cr INR)]] * 100</f>
        <v>46.434494195688224</v>
      </c>
      <c r="W14" s="5">
        <f>Morningstar_Reports[[#This Row],[Free Cash Flow (Cr INR)]]/Morningstar_Reports[[#This Row],[Revenue (Cr INR)]] *100</f>
        <v>41.459369817578775</v>
      </c>
    </row>
    <row r="15" spans="1:23" x14ac:dyDescent="0.3">
      <c r="A15" t="s">
        <v>21</v>
      </c>
      <c r="B15" s="3" t="s">
        <v>38</v>
      </c>
      <c r="C15" s="3">
        <v>2026</v>
      </c>
      <c r="D15" s="3">
        <v>22400</v>
      </c>
      <c r="E15" s="3">
        <v>3225</v>
      </c>
      <c r="F15" s="3">
        <v>5200</v>
      </c>
      <c r="G15" s="3">
        <v>12.2</v>
      </c>
      <c r="H15" s="3">
        <v>62100</v>
      </c>
      <c r="I15" s="3">
        <v>37500</v>
      </c>
      <c r="J15" s="3">
        <v>11900</v>
      </c>
      <c r="K15" s="3">
        <v>9900</v>
      </c>
      <c r="L15" s="3">
        <v>1850</v>
      </c>
      <c r="M15" s="4">
        <v>321000</v>
      </c>
      <c r="N15" s="3" t="s">
        <v>17</v>
      </c>
      <c r="O15" s="3" t="s">
        <v>18</v>
      </c>
      <c r="P15" s="5">
        <f>Morningstar_Reports[[#This Row],[Net Profit (Cr INR)]]/Morningstar_Reports[[#This Row],[Revenue (Cr INR)]] *100</f>
        <v>14.397321428571427</v>
      </c>
      <c r="Q15" s="5">
        <f>Morningstar_Reports[[#This Row],[Operating Profit (Cr INR)]]/Morningstar_Reports[[#This Row],[Revenue (Cr INR)]] * 100</f>
        <v>23.214285714285715</v>
      </c>
      <c r="R15" s="5">
        <f>Morningstar_Reports[[#This Row],[Total Liabilities (Cr INR)]]/Morningstar_Reports[[#This Row],[Total Assets (Cr INR)]]</f>
        <v>0.60386473429951693</v>
      </c>
      <c r="S15" s="5">
        <f>Morningstar_Reports[[#This Row],[Revenue (Cr INR)]]/Morningstar_Reports[[#This Row],[Total Assets (Cr INR)]]</f>
        <v>0.36070853462157809</v>
      </c>
      <c r="T15" s="5">
        <f>Morningstar_Reports[[#This Row],[Market Cap (Cr INR)]]/Morningstar_Reports[[#This Row],[Revenue (Cr INR)]]</f>
        <v>14.330357142857142</v>
      </c>
      <c r="U15" s="6">
        <f>Morningstar_Reports[[#This Row],[Total Assets (Cr INR)]]-Morningstar_Reports[[#This Row],[Total Liabilities (Cr INR)]]</f>
        <v>24600</v>
      </c>
      <c r="V15" s="5">
        <f>Morningstar_Reports[[#This Row],[Cash Flow from Operations (Cr INR)]]/Morningstar_Reports[[#This Row],[Revenue (Cr INR)]] * 100</f>
        <v>53.125</v>
      </c>
      <c r="W15" s="5">
        <f>Morningstar_Reports[[#This Row],[Free Cash Flow (Cr INR)]]/Morningstar_Reports[[#This Row],[Revenue (Cr INR)]] *100</f>
        <v>44.196428571428569</v>
      </c>
    </row>
    <row r="16" spans="1:23" x14ac:dyDescent="0.3">
      <c r="A16" t="s">
        <v>22</v>
      </c>
      <c r="B16" s="3" t="s">
        <v>38</v>
      </c>
      <c r="C16" s="3">
        <v>2026</v>
      </c>
      <c r="D16" s="3">
        <v>15250</v>
      </c>
      <c r="E16" s="3">
        <v>1750</v>
      </c>
      <c r="F16" s="3">
        <v>3300</v>
      </c>
      <c r="G16" s="3">
        <v>10.199999999999999</v>
      </c>
      <c r="H16" s="3">
        <v>41200</v>
      </c>
      <c r="I16" s="3">
        <v>25300</v>
      </c>
      <c r="J16" s="3">
        <v>7300</v>
      </c>
      <c r="K16" s="3">
        <v>6500</v>
      </c>
      <c r="L16" s="3">
        <v>1220</v>
      </c>
      <c r="M16" s="4">
        <v>148200</v>
      </c>
      <c r="N16" s="3" t="s">
        <v>17</v>
      </c>
      <c r="O16" s="3" t="s">
        <v>18</v>
      </c>
      <c r="P16" s="5">
        <f>Morningstar_Reports[[#This Row],[Net Profit (Cr INR)]]/Morningstar_Reports[[#This Row],[Revenue (Cr INR)]] *100</f>
        <v>11.475409836065573</v>
      </c>
      <c r="Q16" s="5">
        <f>Morningstar_Reports[[#This Row],[Operating Profit (Cr INR)]]/Morningstar_Reports[[#This Row],[Revenue (Cr INR)]] * 100</f>
        <v>21.639344262295083</v>
      </c>
      <c r="R16" s="5">
        <f>Morningstar_Reports[[#This Row],[Total Liabilities (Cr INR)]]/Morningstar_Reports[[#This Row],[Total Assets (Cr INR)]]</f>
        <v>0.61407766990291257</v>
      </c>
      <c r="S16" s="5">
        <f>Morningstar_Reports[[#This Row],[Revenue (Cr INR)]]/Morningstar_Reports[[#This Row],[Total Assets (Cr INR)]]</f>
        <v>0.37014563106796117</v>
      </c>
      <c r="T16" s="5">
        <f>Morningstar_Reports[[#This Row],[Market Cap (Cr INR)]]/Morningstar_Reports[[#This Row],[Revenue (Cr INR)]]</f>
        <v>9.7180327868852459</v>
      </c>
      <c r="U16" s="6">
        <f>Morningstar_Reports[[#This Row],[Total Assets (Cr INR)]]-Morningstar_Reports[[#This Row],[Total Liabilities (Cr INR)]]</f>
        <v>15900</v>
      </c>
      <c r="V16" s="5">
        <f>Morningstar_Reports[[#This Row],[Cash Flow from Operations (Cr INR)]]/Morningstar_Reports[[#This Row],[Revenue (Cr INR)]] * 100</f>
        <v>47.868852459016395</v>
      </c>
      <c r="W16" s="5">
        <f>Morningstar_Reports[[#This Row],[Free Cash Flow (Cr INR)]]/Morningstar_Reports[[#This Row],[Revenue (Cr INR)]] *100</f>
        <v>42.622950819672127</v>
      </c>
    </row>
    <row r="17" spans="1:23" x14ac:dyDescent="0.3">
      <c r="A17" t="s">
        <v>23</v>
      </c>
      <c r="B17" s="3" t="s">
        <v>38</v>
      </c>
      <c r="C17" s="3">
        <v>2026</v>
      </c>
      <c r="D17" s="3">
        <v>11150</v>
      </c>
      <c r="E17" s="3">
        <v>1700</v>
      </c>
      <c r="F17" s="3">
        <v>2650</v>
      </c>
      <c r="G17" s="3">
        <v>17.8</v>
      </c>
      <c r="H17" s="3">
        <v>28520</v>
      </c>
      <c r="I17" s="3">
        <v>14200</v>
      </c>
      <c r="J17" s="3">
        <v>5200</v>
      </c>
      <c r="K17" s="3">
        <v>4500</v>
      </c>
      <c r="L17" s="3">
        <v>950</v>
      </c>
      <c r="M17" s="4">
        <v>175250</v>
      </c>
      <c r="N17" s="3" t="s">
        <v>17</v>
      </c>
      <c r="O17" s="3" t="s">
        <v>18</v>
      </c>
      <c r="P17" s="5">
        <f>Morningstar_Reports[[#This Row],[Net Profit (Cr INR)]]/Morningstar_Reports[[#This Row],[Revenue (Cr INR)]] *100</f>
        <v>15.246636771300448</v>
      </c>
      <c r="Q17" s="5">
        <f>Morningstar_Reports[[#This Row],[Operating Profit (Cr INR)]]/Morningstar_Reports[[#This Row],[Revenue (Cr INR)]] * 100</f>
        <v>23.766816143497756</v>
      </c>
      <c r="R17" s="5">
        <f>Morningstar_Reports[[#This Row],[Total Liabilities (Cr INR)]]/Morningstar_Reports[[#This Row],[Total Assets (Cr INR)]]</f>
        <v>0.49789621318373073</v>
      </c>
      <c r="S17" s="5">
        <f>Morningstar_Reports[[#This Row],[Revenue (Cr INR)]]/Morningstar_Reports[[#This Row],[Total Assets (Cr INR)]]</f>
        <v>0.39095371669004209</v>
      </c>
      <c r="T17" s="5">
        <f>Morningstar_Reports[[#This Row],[Market Cap (Cr INR)]]/Morningstar_Reports[[#This Row],[Revenue (Cr INR)]]</f>
        <v>15.717488789237668</v>
      </c>
      <c r="U17" s="6">
        <f>Morningstar_Reports[[#This Row],[Total Assets (Cr INR)]]-Morningstar_Reports[[#This Row],[Total Liabilities (Cr INR)]]</f>
        <v>14320</v>
      </c>
      <c r="V17" s="5">
        <f>Morningstar_Reports[[#This Row],[Cash Flow from Operations (Cr INR)]]/Morningstar_Reports[[#This Row],[Revenue (Cr INR)]] * 100</f>
        <v>46.63677130044843</v>
      </c>
      <c r="W17" s="5">
        <f>Morningstar_Reports[[#This Row],[Free Cash Flow (Cr INR)]]/Morningstar_Reports[[#This Row],[Revenue (Cr INR)]] *100</f>
        <v>40.358744394618832</v>
      </c>
    </row>
    <row r="18" spans="1:23" x14ac:dyDescent="0.3">
      <c r="A18" t="s">
        <v>24</v>
      </c>
      <c r="B18" s="3" t="s">
        <v>38</v>
      </c>
      <c r="C18" s="3">
        <v>2026</v>
      </c>
      <c r="D18" s="3">
        <v>4250</v>
      </c>
      <c r="E18" s="3">
        <v>700</v>
      </c>
      <c r="F18" s="3">
        <v>1106</v>
      </c>
      <c r="G18" s="3">
        <v>12.9</v>
      </c>
      <c r="H18" s="3">
        <v>12300</v>
      </c>
      <c r="I18" s="3">
        <v>6500</v>
      </c>
      <c r="J18" s="3">
        <v>1850</v>
      </c>
      <c r="K18" s="3">
        <v>1800</v>
      </c>
      <c r="L18" s="3">
        <v>375</v>
      </c>
      <c r="M18" s="4">
        <v>52550</v>
      </c>
      <c r="N18" s="3" t="s">
        <v>17</v>
      </c>
      <c r="O18" s="3" t="s">
        <v>18</v>
      </c>
      <c r="P18" s="5">
        <f>Morningstar_Reports[[#This Row],[Net Profit (Cr INR)]]/Morningstar_Reports[[#This Row],[Revenue (Cr INR)]] *100</f>
        <v>16.470588235294116</v>
      </c>
      <c r="Q18" s="5">
        <f>Morningstar_Reports[[#This Row],[Operating Profit (Cr INR)]]/Morningstar_Reports[[#This Row],[Revenue (Cr INR)]] * 100</f>
        <v>26.023529411764706</v>
      </c>
      <c r="R18" s="5">
        <f>Morningstar_Reports[[#This Row],[Total Liabilities (Cr INR)]]/Morningstar_Reports[[#This Row],[Total Assets (Cr INR)]]</f>
        <v>0.52845528455284552</v>
      </c>
      <c r="S18" s="5">
        <f>Morningstar_Reports[[#This Row],[Revenue (Cr INR)]]/Morningstar_Reports[[#This Row],[Total Assets (Cr INR)]]</f>
        <v>0.34552845528455284</v>
      </c>
      <c r="T18" s="5">
        <f>Morningstar_Reports[[#This Row],[Market Cap (Cr INR)]]/Morningstar_Reports[[#This Row],[Revenue (Cr INR)]]</f>
        <v>12.364705882352942</v>
      </c>
      <c r="U18" s="6">
        <f>Morningstar_Reports[[#This Row],[Total Assets (Cr INR)]]-Morningstar_Reports[[#This Row],[Total Liabilities (Cr INR)]]</f>
        <v>5800</v>
      </c>
      <c r="V18" s="5">
        <f>Morningstar_Reports[[#This Row],[Cash Flow from Operations (Cr INR)]]/Morningstar_Reports[[#This Row],[Revenue (Cr INR)]] * 100</f>
        <v>43.529411764705884</v>
      </c>
      <c r="W18" s="5">
        <f>Morningstar_Reports[[#This Row],[Free Cash Flow (Cr INR)]]/Morningstar_Reports[[#This Row],[Revenue (Cr INR)]] *100</f>
        <v>42.352941176470587</v>
      </c>
    </row>
    <row r="19" spans="1:23" x14ac:dyDescent="0.3">
      <c r="A19" t="s">
        <v>25</v>
      </c>
      <c r="B19" s="3" t="s">
        <v>38</v>
      </c>
      <c r="C19" s="3">
        <v>2026</v>
      </c>
      <c r="D19" s="3">
        <v>3450</v>
      </c>
      <c r="E19" s="3">
        <v>545</v>
      </c>
      <c r="F19" s="3">
        <v>867</v>
      </c>
      <c r="G19" s="3">
        <v>11.9</v>
      </c>
      <c r="H19" s="3">
        <v>9765</v>
      </c>
      <c r="I19" s="3">
        <v>4650</v>
      </c>
      <c r="J19" s="3">
        <v>1450</v>
      </c>
      <c r="K19" s="3">
        <v>1380</v>
      </c>
      <c r="L19" s="3">
        <v>325</v>
      </c>
      <c r="M19" s="4">
        <v>48200</v>
      </c>
      <c r="N19" s="3" t="s">
        <v>17</v>
      </c>
      <c r="O19" s="3" t="s">
        <v>18</v>
      </c>
      <c r="P19" s="5">
        <f>Morningstar_Reports[[#This Row],[Net Profit (Cr INR)]]/Morningstar_Reports[[#This Row],[Revenue (Cr INR)]] *100</f>
        <v>15.797101449275363</v>
      </c>
      <c r="Q19" s="5">
        <f>Morningstar_Reports[[#This Row],[Operating Profit (Cr INR)]]/Morningstar_Reports[[#This Row],[Revenue (Cr INR)]] * 100</f>
        <v>25.130434782608695</v>
      </c>
      <c r="R19" s="5">
        <f>Morningstar_Reports[[#This Row],[Total Liabilities (Cr INR)]]/Morningstar_Reports[[#This Row],[Total Assets (Cr INR)]]</f>
        <v>0.47619047619047616</v>
      </c>
      <c r="S19" s="5">
        <f>Morningstar_Reports[[#This Row],[Revenue (Cr INR)]]/Morningstar_Reports[[#This Row],[Total Assets (Cr INR)]]</f>
        <v>0.35330261136712748</v>
      </c>
      <c r="T19" s="5">
        <f>Morningstar_Reports[[#This Row],[Market Cap (Cr INR)]]/Morningstar_Reports[[#This Row],[Revenue (Cr INR)]]</f>
        <v>13.971014492753623</v>
      </c>
      <c r="U19" s="6">
        <f>Morningstar_Reports[[#This Row],[Total Assets (Cr INR)]]-Morningstar_Reports[[#This Row],[Total Liabilities (Cr INR)]]</f>
        <v>5115</v>
      </c>
      <c r="V19" s="5">
        <f>Morningstar_Reports[[#This Row],[Cash Flow from Operations (Cr INR)]]/Morningstar_Reports[[#This Row],[Revenue (Cr INR)]] * 100</f>
        <v>42.028985507246375</v>
      </c>
      <c r="W19" s="5">
        <f>Morningstar_Reports[[#This Row],[Free Cash Flow (Cr INR)]]/Morningstar_Reports[[#This Row],[Revenue (Cr INR)]] *100</f>
        <v>40</v>
      </c>
    </row>
    <row r="20" spans="1:23" x14ac:dyDescent="0.3">
      <c r="A20" t="s">
        <v>26</v>
      </c>
      <c r="B20" s="3" t="s">
        <v>38</v>
      </c>
      <c r="C20" s="3">
        <v>2026</v>
      </c>
      <c r="D20" s="3">
        <v>2900</v>
      </c>
      <c r="E20" s="3">
        <v>480</v>
      </c>
      <c r="F20" s="3">
        <v>785</v>
      </c>
      <c r="G20" s="3">
        <v>8.9</v>
      </c>
      <c r="H20" s="3">
        <v>8650</v>
      </c>
      <c r="I20" s="3">
        <v>3950</v>
      </c>
      <c r="J20" s="3">
        <v>1350</v>
      </c>
      <c r="K20" s="3">
        <v>1200</v>
      </c>
      <c r="L20" s="3">
        <v>290</v>
      </c>
      <c r="M20" s="4">
        <v>39300</v>
      </c>
      <c r="N20" s="3" t="s">
        <v>17</v>
      </c>
      <c r="O20" s="3" t="s">
        <v>18</v>
      </c>
      <c r="P20" s="5">
        <f>Morningstar_Reports[[#This Row],[Net Profit (Cr INR)]]/Morningstar_Reports[[#This Row],[Revenue (Cr INR)]] *100</f>
        <v>16.551724137931036</v>
      </c>
      <c r="Q20" s="5">
        <f>Morningstar_Reports[[#This Row],[Operating Profit (Cr INR)]]/Morningstar_Reports[[#This Row],[Revenue (Cr INR)]] * 100</f>
        <v>27.068965517241377</v>
      </c>
      <c r="R20" s="5">
        <f>Morningstar_Reports[[#This Row],[Total Liabilities (Cr INR)]]/Morningstar_Reports[[#This Row],[Total Assets (Cr INR)]]</f>
        <v>0.45664739884393063</v>
      </c>
      <c r="S20" s="5">
        <f>Morningstar_Reports[[#This Row],[Revenue (Cr INR)]]/Morningstar_Reports[[#This Row],[Total Assets (Cr INR)]]</f>
        <v>0.33526011560693642</v>
      </c>
      <c r="T20" s="5">
        <f>Morningstar_Reports[[#This Row],[Market Cap (Cr INR)]]/Morningstar_Reports[[#This Row],[Revenue (Cr INR)]]</f>
        <v>13.551724137931034</v>
      </c>
      <c r="U20" s="6">
        <f>Morningstar_Reports[[#This Row],[Total Assets (Cr INR)]]-Morningstar_Reports[[#This Row],[Total Liabilities (Cr INR)]]</f>
        <v>4700</v>
      </c>
      <c r="V20" s="5">
        <f>Morningstar_Reports[[#This Row],[Cash Flow from Operations (Cr INR)]]/Morningstar_Reports[[#This Row],[Revenue (Cr INR)]] * 100</f>
        <v>46.551724137931032</v>
      </c>
      <c r="W20" s="5">
        <f>Morningstar_Reports[[#This Row],[Free Cash Flow (Cr INR)]]/Morningstar_Reports[[#This Row],[Revenue (Cr INR)]] *100</f>
        <v>41.379310344827587</v>
      </c>
    </row>
    <row r="21" spans="1:23" x14ac:dyDescent="0.3">
      <c r="A21" t="s">
        <v>27</v>
      </c>
      <c r="B21" s="3" t="s">
        <v>38</v>
      </c>
      <c r="C21" s="3">
        <v>2026</v>
      </c>
      <c r="D21" s="3">
        <v>2175</v>
      </c>
      <c r="E21" s="3">
        <v>415</v>
      </c>
      <c r="F21" s="3">
        <v>655</v>
      </c>
      <c r="G21" s="3">
        <v>22.9</v>
      </c>
      <c r="H21" s="3">
        <v>7250</v>
      </c>
      <c r="I21" s="3">
        <v>2150</v>
      </c>
      <c r="J21" s="3">
        <v>985</v>
      </c>
      <c r="K21" s="3">
        <v>890</v>
      </c>
      <c r="L21" s="3">
        <v>210</v>
      </c>
      <c r="M21" s="4">
        <v>62300</v>
      </c>
      <c r="N21" s="3" t="s">
        <v>17</v>
      </c>
      <c r="O21" s="3" t="s">
        <v>18</v>
      </c>
      <c r="P21" s="5">
        <f>Morningstar_Reports[[#This Row],[Net Profit (Cr INR)]]/Morningstar_Reports[[#This Row],[Revenue (Cr INR)]] *100</f>
        <v>19.080459770114942</v>
      </c>
      <c r="Q21" s="5">
        <f>Morningstar_Reports[[#This Row],[Operating Profit (Cr INR)]]/Morningstar_Reports[[#This Row],[Revenue (Cr INR)]] * 100</f>
        <v>30.114942528735632</v>
      </c>
      <c r="R21" s="5">
        <f>Morningstar_Reports[[#This Row],[Total Liabilities (Cr INR)]]/Morningstar_Reports[[#This Row],[Total Assets (Cr INR)]]</f>
        <v>0.29655172413793102</v>
      </c>
      <c r="S21" s="5">
        <f>Morningstar_Reports[[#This Row],[Revenue (Cr INR)]]/Morningstar_Reports[[#This Row],[Total Assets (Cr INR)]]</f>
        <v>0.3</v>
      </c>
      <c r="T21" s="5">
        <f>Morningstar_Reports[[#This Row],[Market Cap (Cr INR)]]/Morningstar_Reports[[#This Row],[Revenue (Cr INR)]]</f>
        <v>28.643678160919539</v>
      </c>
      <c r="U21" s="6">
        <f>Morningstar_Reports[[#This Row],[Total Assets (Cr INR)]]-Morningstar_Reports[[#This Row],[Total Liabilities (Cr INR)]]</f>
        <v>5100</v>
      </c>
      <c r="V21" s="5">
        <f>Morningstar_Reports[[#This Row],[Cash Flow from Operations (Cr INR)]]/Morningstar_Reports[[#This Row],[Revenue (Cr INR)]] * 100</f>
        <v>45.287356321839077</v>
      </c>
      <c r="W21" s="5">
        <f>Morningstar_Reports[[#This Row],[Free Cash Flow (Cr INR)]]/Morningstar_Reports[[#This Row],[Revenue (Cr INR)]] *100</f>
        <v>40.919540229885058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E6B29-58E2-4C3C-88F9-8846F82224CB}">
  <dimension ref="A1"/>
  <sheetViews>
    <sheetView workbookViewId="0">
      <selection activeCell="A33" sqref="A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42C96-6E15-40AA-A7D0-55D3C20C05CD}">
  <dimension ref="A3:C14"/>
  <sheetViews>
    <sheetView workbookViewId="0">
      <selection activeCell="B8" sqref="B8"/>
    </sheetView>
  </sheetViews>
  <sheetFormatPr defaultRowHeight="14.4" x14ac:dyDescent="0.3"/>
  <cols>
    <col min="1" max="1" width="29.109375" bestFit="1" customWidth="1"/>
    <col min="2" max="2" width="21.109375" bestFit="1" customWidth="1"/>
    <col min="3" max="3" width="20.5546875" bestFit="1" customWidth="1"/>
  </cols>
  <sheetData>
    <row r="3" spans="1:3" x14ac:dyDescent="0.3">
      <c r="A3" s="1" t="s">
        <v>29</v>
      </c>
      <c r="B3" t="s">
        <v>32</v>
      </c>
      <c r="C3" t="s">
        <v>43</v>
      </c>
    </row>
    <row r="4" spans="1:3" x14ac:dyDescent="0.3">
      <c r="A4" s="2" t="s">
        <v>26</v>
      </c>
      <c r="B4">
        <v>5850</v>
      </c>
      <c r="C4" s="7">
        <v>0.32144944476914084</v>
      </c>
    </row>
    <row r="5" spans="1:3" x14ac:dyDescent="0.3">
      <c r="A5" s="2" t="s">
        <v>20</v>
      </c>
      <c r="B5">
        <v>60400</v>
      </c>
      <c r="C5" s="7">
        <v>0.3350958705097104</v>
      </c>
    </row>
    <row r="6" spans="1:3" x14ac:dyDescent="0.3">
      <c r="A6" s="2" t="s">
        <v>19</v>
      </c>
      <c r="B6">
        <v>80300</v>
      </c>
      <c r="C6" s="7">
        <v>0.39476867532660886</v>
      </c>
    </row>
    <row r="7" spans="1:3" x14ac:dyDescent="0.3">
      <c r="A7" s="2" t="s">
        <v>23</v>
      </c>
      <c r="B7">
        <v>22400</v>
      </c>
      <c r="C7" s="7">
        <v>0.29913303437967115</v>
      </c>
    </row>
    <row r="8" spans="1:3" x14ac:dyDescent="0.3">
      <c r="A8" s="2" t="s">
        <v>24</v>
      </c>
      <c r="B8">
        <v>8450</v>
      </c>
      <c r="C8" s="7">
        <v>0.33613445378151263</v>
      </c>
    </row>
    <row r="9" spans="1:3" x14ac:dyDescent="0.3">
      <c r="A9" s="2" t="s">
        <v>27</v>
      </c>
      <c r="B9">
        <v>4325</v>
      </c>
      <c r="C9" s="7">
        <v>0.38150227211975407</v>
      </c>
    </row>
    <row r="10" spans="1:3" x14ac:dyDescent="0.3">
      <c r="A10" s="2" t="s">
        <v>25</v>
      </c>
      <c r="B10">
        <v>6800</v>
      </c>
      <c r="C10" s="7">
        <v>0.3191650443434999</v>
      </c>
    </row>
    <row r="11" spans="1:3" x14ac:dyDescent="0.3">
      <c r="A11" s="2" t="s">
        <v>15</v>
      </c>
      <c r="B11">
        <v>128600</v>
      </c>
      <c r="C11" s="7">
        <v>0.37685880051638809</v>
      </c>
    </row>
    <row r="12" spans="1:3" x14ac:dyDescent="0.3">
      <c r="A12" s="2" t="s">
        <v>22</v>
      </c>
      <c r="B12">
        <v>30350</v>
      </c>
      <c r="C12" s="7">
        <v>0.23395939637390079</v>
      </c>
    </row>
    <row r="13" spans="1:3" x14ac:dyDescent="0.3">
      <c r="A13" s="2" t="s">
        <v>21</v>
      </c>
      <c r="B13">
        <v>44900</v>
      </c>
      <c r="C13" s="7">
        <v>0.2861954365079365</v>
      </c>
    </row>
    <row r="14" spans="1:3" x14ac:dyDescent="0.3">
      <c r="A14" s="2" t="s">
        <v>31</v>
      </c>
      <c r="B14">
        <v>392375</v>
      </c>
      <c r="C14" s="7">
        <v>3.2842624286281237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F2D38-339E-403A-A032-DF0067050B13}">
  <dimension ref="A3:D13"/>
  <sheetViews>
    <sheetView workbookViewId="0">
      <selection activeCell="N16" sqref="N16"/>
    </sheetView>
  </sheetViews>
  <sheetFormatPr defaultRowHeight="14.4" x14ac:dyDescent="0.3"/>
  <cols>
    <col min="1" max="1" width="29.109375" bestFit="1" customWidth="1"/>
    <col min="2" max="2" width="27.109375" bestFit="1" customWidth="1"/>
    <col min="3" max="3" width="9.77734375" bestFit="1" customWidth="1"/>
    <col min="4" max="4" width="17" bestFit="1" customWidth="1"/>
  </cols>
  <sheetData>
    <row r="3" spans="1:4" x14ac:dyDescent="0.3">
      <c r="A3" s="1" t="s">
        <v>29</v>
      </c>
      <c r="B3" t="s">
        <v>40</v>
      </c>
      <c r="C3" t="s">
        <v>41</v>
      </c>
      <c r="D3" t="s">
        <v>42</v>
      </c>
    </row>
    <row r="4" spans="1:4" x14ac:dyDescent="0.3">
      <c r="A4" s="2" t="s">
        <v>26</v>
      </c>
      <c r="B4">
        <v>2690</v>
      </c>
      <c r="C4">
        <v>550</v>
      </c>
      <c r="D4">
        <v>2300</v>
      </c>
    </row>
    <row r="5" spans="1:4" x14ac:dyDescent="0.3">
      <c r="A5" s="2" t="s">
        <v>20</v>
      </c>
      <c r="B5">
        <v>28500</v>
      </c>
      <c r="C5">
        <v>4300</v>
      </c>
      <c r="D5">
        <v>24800</v>
      </c>
    </row>
    <row r="6" spans="1:4" x14ac:dyDescent="0.3">
      <c r="A6" s="2" t="s">
        <v>19</v>
      </c>
      <c r="B6">
        <v>44500</v>
      </c>
      <c r="C6">
        <v>5850</v>
      </c>
      <c r="D6">
        <v>37700</v>
      </c>
    </row>
    <row r="7" spans="1:4" x14ac:dyDescent="0.3">
      <c r="A7" s="2" t="s">
        <v>23</v>
      </c>
      <c r="B7">
        <v>10300</v>
      </c>
      <c r="C7">
        <v>1850</v>
      </c>
      <c r="D7">
        <v>8800</v>
      </c>
    </row>
    <row r="8" spans="1:4" x14ac:dyDescent="0.3">
      <c r="A8" s="2" t="s">
        <v>24</v>
      </c>
      <c r="B8">
        <v>3750</v>
      </c>
      <c r="C8">
        <v>725</v>
      </c>
      <c r="D8">
        <v>3400</v>
      </c>
    </row>
    <row r="9" spans="1:4" x14ac:dyDescent="0.3">
      <c r="A9" s="2" t="s">
        <v>27</v>
      </c>
      <c r="B9">
        <v>1965</v>
      </c>
      <c r="C9">
        <v>390</v>
      </c>
      <c r="D9">
        <v>1750</v>
      </c>
    </row>
    <row r="10" spans="1:4" x14ac:dyDescent="0.3">
      <c r="A10" s="2" t="s">
        <v>25</v>
      </c>
      <c r="B10">
        <v>3000</v>
      </c>
      <c r="C10">
        <v>615</v>
      </c>
      <c r="D10">
        <v>2690</v>
      </c>
    </row>
    <row r="11" spans="1:4" x14ac:dyDescent="0.3">
      <c r="A11" s="2" t="s">
        <v>15</v>
      </c>
      <c r="B11">
        <v>84500</v>
      </c>
      <c r="C11">
        <v>9550</v>
      </c>
      <c r="D11">
        <v>59300</v>
      </c>
    </row>
    <row r="12" spans="1:4" x14ac:dyDescent="0.3">
      <c r="A12" s="2" t="s">
        <v>22</v>
      </c>
      <c r="B12">
        <v>14500</v>
      </c>
      <c r="C12">
        <v>2420</v>
      </c>
      <c r="D12">
        <v>12600</v>
      </c>
    </row>
    <row r="13" spans="1:4" x14ac:dyDescent="0.3">
      <c r="A13" s="2" t="s">
        <v>21</v>
      </c>
      <c r="B13">
        <v>23700</v>
      </c>
      <c r="C13">
        <v>3650</v>
      </c>
      <c r="D13">
        <v>19600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F941-72FB-41E1-8438-04CE74ADC30B}">
  <dimension ref="A3:B13"/>
  <sheetViews>
    <sheetView workbookViewId="0"/>
  </sheetViews>
  <sheetFormatPr defaultRowHeight="14.4" x14ac:dyDescent="0.3"/>
  <cols>
    <col min="1" max="1" width="29.109375" bestFit="1" customWidth="1"/>
    <col min="2" max="2" width="22.109375" bestFit="1" customWidth="1"/>
  </cols>
  <sheetData>
    <row r="3" spans="1:2" x14ac:dyDescent="0.3">
      <c r="A3" s="1" t="s">
        <v>29</v>
      </c>
      <c r="B3" t="s">
        <v>30</v>
      </c>
    </row>
    <row r="4" spans="1:2" x14ac:dyDescent="0.3">
      <c r="A4" s="2" t="s">
        <v>26</v>
      </c>
      <c r="B4">
        <v>940</v>
      </c>
    </row>
    <row r="5" spans="1:2" x14ac:dyDescent="0.3">
      <c r="A5" s="2" t="s">
        <v>20</v>
      </c>
      <c r="B5">
        <v>10120</v>
      </c>
    </row>
    <row r="6" spans="1:2" x14ac:dyDescent="0.3">
      <c r="A6" s="2" t="s">
        <v>19</v>
      </c>
      <c r="B6">
        <v>15850</v>
      </c>
    </row>
    <row r="7" spans="1:2" x14ac:dyDescent="0.3">
      <c r="A7" s="2" t="s">
        <v>23</v>
      </c>
      <c r="B7">
        <v>3350</v>
      </c>
    </row>
    <row r="8" spans="1:2" x14ac:dyDescent="0.3">
      <c r="A8" s="2" t="s">
        <v>24</v>
      </c>
      <c r="B8">
        <v>1420</v>
      </c>
    </row>
    <row r="9" spans="1:2" x14ac:dyDescent="0.3">
      <c r="A9" s="2" t="s">
        <v>27</v>
      </c>
      <c r="B9">
        <v>825</v>
      </c>
    </row>
    <row r="10" spans="1:2" x14ac:dyDescent="0.3">
      <c r="A10" s="2" t="s">
        <v>25</v>
      </c>
      <c r="B10">
        <v>1085</v>
      </c>
    </row>
    <row r="11" spans="1:2" x14ac:dyDescent="0.3">
      <c r="A11" s="2" t="s">
        <v>15</v>
      </c>
      <c r="B11">
        <v>24232</v>
      </c>
    </row>
    <row r="12" spans="1:2" x14ac:dyDescent="0.3">
      <c r="A12" s="2" t="s">
        <v>22</v>
      </c>
      <c r="B12">
        <v>3550</v>
      </c>
    </row>
    <row r="13" spans="1:2" x14ac:dyDescent="0.3">
      <c r="A13" s="2" t="s">
        <v>21</v>
      </c>
      <c r="B13">
        <v>6425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7F904-F7D7-4717-A664-3707540C08A2}">
  <dimension ref="A3:B14"/>
  <sheetViews>
    <sheetView workbookViewId="0">
      <selection activeCell="B18" sqref="B18"/>
    </sheetView>
  </sheetViews>
  <sheetFormatPr defaultRowHeight="14.4" x14ac:dyDescent="0.3"/>
  <cols>
    <col min="1" max="1" width="29.109375" bestFit="1" customWidth="1"/>
    <col min="2" max="2" width="23.6640625" bestFit="1" customWidth="1"/>
  </cols>
  <sheetData>
    <row r="3" spans="1:2" x14ac:dyDescent="0.3">
      <c r="A3" s="1" t="s">
        <v>29</v>
      </c>
      <c r="B3" t="s">
        <v>39</v>
      </c>
    </row>
    <row r="4" spans="1:2" x14ac:dyDescent="0.3">
      <c r="A4" s="2" t="s">
        <v>26</v>
      </c>
      <c r="B4">
        <v>78300</v>
      </c>
    </row>
    <row r="5" spans="1:2" x14ac:dyDescent="0.3">
      <c r="A5" s="2" t="s">
        <v>20</v>
      </c>
      <c r="B5">
        <v>872000</v>
      </c>
    </row>
    <row r="6" spans="1:2" x14ac:dyDescent="0.3">
      <c r="A6" s="2" t="s">
        <v>19</v>
      </c>
      <c r="B6">
        <v>1422000</v>
      </c>
    </row>
    <row r="7" spans="1:2" x14ac:dyDescent="0.3">
      <c r="A7" s="2" t="s">
        <v>23</v>
      </c>
      <c r="B7">
        <v>350250</v>
      </c>
    </row>
    <row r="8" spans="1:2" x14ac:dyDescent="0.3">
      <c r="A8" s="2" t="s">
        <v>24</v>
      </c>
      <c r="B8">
        <v>104550</v>
      </c>
    </row>
    <row r="9" spans="1:2" x14ac:dyDescent="0.3">
      <c r="A9" s="2" t="s">
        <v>27</v>
      </c>
      <c r="B9">
        <v>124300</v>
      </c>
    </row>
    <row r="10" spans="1:2" x14ac:dyDescent="0.3">
      <c r="A10" s="2" t="s">
        <v>25</v>
      </c>
      <c r="B10">
        <v>96200</v>
      </c>
    </row>
    <row r="11" spans="1:2" x14ac:dyDescent="0.3">
      <c r="A11" s="2" t="s">
        <v>15</v>
      </c>
      <c r="B11">
        <v>1224200</v>
      </c>
    </row>
    <row r="12" spans="1:2" x14ac:dyDescent="0.3">
      <c r="A12" s="2" t="s">
        <v>22</v>
      </c>
      <c r="B12">
        <v>296200</v>
      </c>
    </row>
    <row r="13" spans="1:2" x14ac:dyDescent="0.3">
      <c r="A13" s="2" t="s">
        <v>21</v>
      </c>
      <c r="B13">
        <v>641000</v>
      </c>
    </row>
    <row r="14" spans="1:2" x14ac:dyDescent="0.3">
      <c r="A14" s="2" t="s">
        <v>31</v>
      </c>
      <c r="B14">
        <v>5209000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0D618-3D7E-45E4-8114-BA69B87E824B}">
  <dimension ref="A3:E13"/>
  <sheetViews>
    <sheetView workbookViewId="0">
      <selection activeCell="E3" sqref="E3"/>
    </sheetView>
  </sheetViews>
  <sheetFormatPr defaultRowHeight="14.4" x14ac:dyDescent="0.3"/>
  <cols>
    <col min="1" max="1" width="29.109375" bestFit="1" customWidth="1"/>
    <col min="2" max="2" width="14.44140625" bestFit="1" customWidth="1"/>
    <col min="3" max="3" width="18.21875" bestFit="1" customWidth="1"/>
    <col min="4" max="4" width="14.33203125" bestFit="1" customWidth="1"/>
    <col min="5" max="5" width="14" bestFit="1" customWidth="1"/>
  </cols>
  <sheetData>
    <row r="3" spans="1:5" x14ac:dyDescent="0.3">
      <c r="A3" s="1" t="s">
        <v>46</v>
      </c>
      <c r="B3" t="s">
        <v>28</v>
      </c>
      <c r="C3" t="s">
        <v>47</v>
      </c>
      <c r="D3" t="s">
        <v>44</v>
      </c>
      <c r="E3" t="s">
        <v>45</v>
      </c>
    </row>
    <row r="4" spans="1:5" x14ac:dyDescent="0.3">
      <c r="A4" s="2" t="s">
        <v>26</v>
      </c>
      <c r="B4" s="7">
        <v>16.072472238457046</v>
      </c>
      <c r="C4" s="7">
        <v>26.754821741671535</v>
      </c>
      <c r="D4" s="7">
        <v>45.987726475745177</v>
      </c>
      <c r="E4" s="7">
        <v>39.333722969023967</v>
      </c>
    </row>
    <row r="5" spans="1:5" x14ac:dyDescent="0.3">
      <c r="A5" s="2" t="s">
        <v>20</v>
      </c>
      <c r="B5" s="7">
        <v>16.754793525485518</v>
      </c>
      <c r="C5" s="7">
        <v>23.3441607390047</v>
      </c>
      <c r="D5" s="7">
        <v>47.184189246604447</v>
      </c>
      <c r="E5" s="7">
        <v>41.060263421186079</v>
      </c>
    </row>
    <row r="6" spans="1:5" x14ac:dyDescent="0.3">
      <c r="A6" s="2" t="s">
        <v>19</v>
      </c>
      <c r="B6" s="7">
        <v>19.738433766330441</v>
      </c>
      <c r="C6" s="7">
        <v>24.445819530775054</v>
      </c>
      <c r="D6" s="7">
        <v>55.416496073249711</v>
      </c>
      <c r="E6" s="7">
        <v>46.948859195295341</v>
      </c>
    </row>
    <row r="7" spans="1:5" x14ac:dyDescent="0.3">
      <c r="A7" s="2" t="s">
        <v>23</v>
      </c>
      <c r="B7" s="7">
        <v>14.956651718983558</v>
      </c>
      <c r="C7" s="7">
        <v>23.438963627304432</v>
      </c>
      <c r="D7" s="7">
        <v>45.985052316890879</v>
      </c>
      <c r="E7" s="7">
        <v>39.290483308420526</v>
      </c>
    </row>
    <row r="8" spans="1:5" x14ac:dyDescent="0.3">
      <c r="A8" s="2" t="s">
        <v>24</v>
      </c>
      <c r="B8" s="7">
        <v>16.806722689075627</v>
      </c>
      <c r="C8" s="7">
        <v>26.107002801120451</v>
      </c>
      <c r="D8" s="7">
        <v>44.383753501400562</v>
      </c>
      <c r="E8" s="7">
        <v>40.224089635854341</v>
      </c>
    </row>
    <row r="9" spans="1:5" x14ac:dyDescent="0.3">
      <c r="A9" s="2" t="s">
        <v>27</v>
      </c>
      <c r="B9" s="7">
        <v>19.075113605987703</v>
      </c>
      <c r="C9" s="7">
        <v>30.173750334135256</v>
      </c>
      <c r="D9" s="7">
        <v>45.434375835338145</v>
      </c>
      <c r="E9" s="7">
        <v>40.459770114942529</v>
      </c>
    </row>
    <row r="10" spans="1:5" x14ac:dyDescent="0.3">
      <c r="A10" s="2" t="s">
        <v>25</v>
      </c>
      <c r="B10" s="7">
        <v>15.958252217174994</v>
      </c>
      <c r="C10" s="7">
        <v>25.401038286826733</v>
      </c>
      <c r="D10" s="7">
        <v>44.148821111832142</v>
      </c>
      <c r="E10" s="7">
        <v>39.552238805970148</v>
      </c>
    </row>
    <row r="11" spans="1:5" x14ac:dyDescent="0.3">
      <c r="A11" s="2" t="s">
        <v>15</v>
      </c>
      <c r="B11" s="7">
        <v>18.842940025819402</v>
      </c>
      <c r="C11" s="7">
        <v>23.965787779017351</v>
      </c>
      <c r="D11" s="7">
        <v>65.707357925256758</v>
      </c>
      <c r="E11" s="7">
        <v>46.111821598202923</v>
      </c>
    </row>
    <row r="12" spans="1:5" x14ac:dyDescent="0.3">
      <c r="A12" s="2" t="s">
        <v>22</v>
      </c>
      <c r="B12" s="7">
        <v>11.697969818695039</v>
      </c>
      <c r="C12" s="7">
        <v>21.415698621213767</v>
      </c>
      <c r="D12" s="7">
        <v>47.775485832157202</v>
      </c>
      <c r="E12" s="7">
        <v>41.510150906524807</v>
      </c>
    </row>
    <row r="13" spans="1:5" x14ac:dyDescent="0.3">
      <c r="A13" s="2" t="s">
        <v>21</v>
      </c>
      <c r="B13" s="7">
        <v>14.309771825396824</v>
      </c>
      <c r="C13" s="7">
        <v>22.94047619047619</v>
      </c>
      <c r="D13" s="7">
        <v>52.784722222222229</v>
      </c>
      <c r="E13" s="7">
        <v>43.653769841269842</v>
      </c>
    </row>
  </sheetData>
  <conditionalFormatting sqref="A3:E3 A4:A13">
    <cfRule type="colorScale" priority="2">
      <colorScale>
        <cfvo type="min"/>
        <cfvo type="percentile" val="50"/>
        <cfvo type="max"/>
        <color rgb="FF63BE7B"/>
        <color rgb="FFFFEB84"/>
        <color rgb="FFF8696B"/>
      </colorScale>
    </cfRule>
  </conditionalFormatting>
  <conditionalFormatting sqref="A3:E13">
    <cfRule type="colorScale" priority="1">
      <colorScale>
        <cfvo type="min"/>
        <cfvo type="percentile" val="50"/>
        <cfvo type="max"/>
        <color rgb="FF63BE7B"/>
        <color rgb="FFFFEB84"/>
        <color rgb="FFF8696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E3FF35-2BE0-4FA5-9DDE-DA90E8A14F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Dashboard</vt:lpstr>
      <vt:lpstr>Revenue Vs Profit Margin</vt:lpstr>
      <vt:lpstr>Cashflow Analysis</vt:lpstr>
      <vt:lpstr>Net Profit Chart</vt:lpstr>
      <vt:lpstr>Market Capital</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Pratik Rajput</dc:creator>
  <cp:lastModifiedBy>Pratik Rajput</cp:lastModifiedBy>
  <dcterms:created xsi:type="dcterms:W3CDTF">2026-05-13T14:22:00Z</dcterms:created>
  <dcterms:modified xsi:type="dcterms:W3CDTF">2026-05-17T13:58:59Z</dcterms:modified>
</cp:coreProperties>
</file>